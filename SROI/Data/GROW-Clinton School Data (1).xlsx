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Faith VonDran\Desktop\GROW\Clinton School Materials\Fall 2025\"/>
    </mc:Choice>
  </mc:AlternateContent>
  <xr:revisionPtr revIDLastSave="0" documentId="13_ncr:1_{5C592F52-13B8-4346-9246-E1148D15B18E}" xr6:coauthVersionLast="47" xr6:coauthVersionMax="47" xr10:uidLastSave="{00000000-0000-0000-0000-000000000000}"/>
  <bookViews>
    <workbookView xWindow="-110" yWindow="-110" windowWidth="24220" windowHeight="15500" xr2:uid="{39F4D242-4195-4841-B26B-D111CF3EDC2C}"/>
  </bookViews>
  <sheets>
    <sheet name="Clinton School 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4" i="1" l="1"/>
  <c r="D67" i="1"/>
  <c r="C64" i="1"/>
  <c r="D59" i="1"/>
  <c r="D52" i="1"/>
  <c r="D45" i="1"/>
  <c r="D38" i="1"/>
  <c r="C31" i="1"/>
  <c r="D28" i="1"/>
  <c r="D31" i="1" s="1"/>
  <c r="C23" i="1"/>
  <c r="D23" i="1"/>
  <c r="C59" i="1"/>
  <c r="C67" i="1"/>
  <c r="C52" i="1"/>
  <c r="C37" i="1"/>
  <c r="C38" i="1" s="1"/>
  <c r="C45" i="1"/>
  <c r="D10"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tc={7B660F1C-022C-420E-88ED-2200289C51A3}</author>
    <author>tc={81C8702D-5706-429D-8536-C0C748C2A4BF}</author>
    <author>tc={BDCD8382-73A9-42C0-836A-7E913080FE89}</author>
    <author>tc={5FFC4F1E-3402-4CA3-AF3B-09766900889F}</author>
  </authors>
  <commentList>
    <comment ref="C19" authorId="0" shapeId="0" xr:uid="{7B660F1C-022C-420E-88ED-2200289C51A3}">
      <text>
        <t>[Threaded comment]
Your version of Excel allows you to read this threaded comment; however, any edits to it will get removed if the file is opened in a newer version of Excel. Learn more: https://go.microsoft.com/fwlink/?linkid=870924
Comment:
    According to our MOU GROW provides annual grants to EA in the amounts of:
Year 1 - $10,692
Year 2 - $8,070
Year 3 - $3,377
For a total of $22,139 over three years.</t>
      </text>
    </comment>
    <comment ref="D30" authorId="1" shapeId="0" xr:uid="{81C8702D-5706-429D-8536-C0C748C2A4BF}">
      <text>
        <t>[Threaded comment]
Your version of Excel allows you to read this threaded comment; however, any edits to it will get removed if the file is opened in a newer version of Excel. Learn more: https://go.microsoft.com/fwlink/?linkid=870924
Comment:
    Amount charged over and above the agreed upon annual grant in Y1 to cover the development and printing of financial education curriculum.</t>
      </text>
    </comment>
    <comment ref="C64" authorId="2" shapeId="0" xr:uid="{BDCD8382-73A9-42C0-836A-7E913080FE89}">
      <text>
        <t>[Threaded comment]
Your version of Excel allows you to read this threaded comment; however, any edits to it will get removed if the file is opened in a newer version of Excel. Learn more: https://go.microsoft.com/fwlink/?linkid=870924
Comment:
    2.5 administration/accounting hours per week x 10 months</t>
      </text>
    </comment>
    <comment ref="D64" authorId="3" shapeId="0" xr:uid="{5FFC4F1E-3402-4CA3-AF3B-09766900889F}">
      <text>
        <t>[Threaded comment]
Your version of Excel allows you to read this threaded comment; however, any edits to it will get removed if the file is opened in a newer version of Excel. Learn more: https://go.microsoft.com/fwlink/?linkid=870924
Comment:
    5.5 launch hrs x 16 volunteers</t>
      </text>
    </comment>
  </commentList>
</comments>
</file>

<file path=xl/sharedStrings.xml><?xml version="1.0" encoding="utf-8"?>
<sst xmlns="http://schemas.openxmlformats.org/spreadsheetml/2006/main" count="76" uniqueCount="52">
  <si>
    <t>3a. Cash Transfers to Participants</t>
  </si>
  <si>
    <t>i.</t>
  </si>
  <si>
    <t>ii.</t>
  </si>
  <si>
    <t>iii.</t>
  </si>
  <si>
    <t>iv.</t>
  </si>
  <si>
    <t>Seed deposits</t>
  </si>
  <si>
    <t>Annual deposits</t>
  </si>
  <si>
    <t>Student incentive deposits</t>
  </si>
  <si>
    <t>Teacher incentive deposits</t>
  </si>
  <si>
    <t>Students</t>
  </si>
  <si>
    <t>Teachers</t>
  </si>
  <si>
    <t>note, annual deposits will commence in Fall 2026, per MOU with JNPSD</t>
  </si>
  <si>
    <t>Clinton School Data Request - December 2025</t>
  </si>
  <si>
    <t>3b. Personnel and Staffing</t>
  </si>
  <si>
    <t>v.</t>
  </si>
  <si>
    <t>vi.</t>
  </si>
  <si>
    <t>vii.</t>
  </si>
  <si>
    <t>GROW Ambassador stipends</t>
  </si>
  <si>
    <t>Teachers' stipends</t>
  </si>
  <si>
    <t>Arkansas Brighter Futures 529 costs</t>
  </si>
  <si>
    <t>Economic Arkansas staff costs</t>
  </si>
  <si>
    <t>Proper Southern Solutions costs</t>
  </si>
  <si>
    <t>Evaluation team costs (including incentives/travel)</t>
  </si>
  <si>
    <t>Stipends paid to school</t>
  </si>
  <si>
    <t>Teachers do not receive stipends from GROW</t>
  </si>
  <si>
    <t>in dollars ($), as of 12.01.25</t>
  </si>
  <si>
    <t>3c. Program Materials and Supplies</t>
  </si>
  <si>
    <t>Cost of marketing and outreach materials for all GROW related activities (website, flyers, etc.)</t>
  </si>
  <si>
    <t>Cost of enrollment materials for parents and teachers</t>
  </si>
  <si>
    <t>Workshop/classroom supplies for financial education (used by teachers) and professional development curriculum (used by EA trainers)</t>
  </si>
  <si>
    <t>3d. Administrative and Operational Costs</t>
  </si>
  <si>
    <t>3e. Physical Space Costs for Program Activities</t>
  </si>
  <si>
    <t>3f. Technology and Data Infrastructures</t>
  </si>
  <si>
    <t>3g. Partnership Management</t>
  </si>
  <si>
    <t>3h. In-Kind Contributions (if applicable)</t>
  </si>
  <si>
    <t>Proportional cost of office space, utilities, and tech support used for GROW</t>
  </si>
  <si>
    <t>Finance, legal, and compliance support (e.g., contracts, 529 plan management, data sharing)</t>
  </si>
  <si>
    <t>Rental costs for trainings, workshops, info sessions, or events (e.g., school rooms, community centers)</t>
  </si>
  <si>
    <t>Cleansing, maintenance, or security for spaces used</t>
  </si>
  <si>
    <t>Costs for data systems for tracking enrollment, incentives, and outcomes</t>
  </si>
  <si>
    <t>Costs for IT staff time for setup, maintenance, and support</t>
  </si>
  <si>
    <t>Meeting expenses (e.g., transportation, refreshments, venue)</t>
  </si>
  <si>
    <t>Stakeholder coordination time (for calculating opportunity costs)</t>
  </si>
  <si>
    <t>Volunteer time (e.g., teachers, parents, community partners)</t>
  </si>
  <si>
    <t>Donated goods (e.g., workshop space, printing, refreshments)</t>
  </si>
  <si>
    <t>Donated services (e.g., promotional or legal support)</t>
  </si>
  <si>
    <t>Admin fees, tax preparation exp</t>
  </si>
  <si>
    <t>excel</t>
  </si>
  <si>
    <t>in hours, as of 12.01.25</t>
  </si>
  <si>
    <t>Recurring/Annual Costs</t>
  </si>
  <si>
    <t>One Time Costs</t>
  </si>
  <si>
    <t>Other than ongoing website maintenance, marketing and publicity contracts were entered into for the first year of the program only.  While it is possible that new contracts for special circumstances may be initiated in the future, we have no current plans to incur any large additional expenses of this 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</si>
</sst>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4" formatCode="_(&quot;$&quot;* #,##0.00_);_(&quot;$&quot;* \(#,##0.00\);_(&quot;$&quot;* &quot;-&quot;??_);_(@_)"/>
    <numFmt numFmtId="43" formatCode="_(* #,##0.00_);_(* \(#,##0.00\);_(* &quot;-&quot;??_);_(@_)"/>
    <numFmt numFmtId="164" formatCode="_(* #,##0.00_);_(* \(#,##0.00\);_(* &quot;-&quot;_);_(@_)"/>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i/>
      <sz val="10"/>
      <color theme="1"/>
      <name val="Aptos Narrow"/>
      <family val="2"/>
      <scheme val="minor"/>
    </font>
    <font>
      <i/>
      <sz val="11"/>
      <color theme="0"/>
      <name val="Aptos Narrow"/>
      <family val="2"/>
      <scheme val="minor"/>
    </font>
    <font>
      <sz val="12"/>
      <color theme="1"/>
      <name val="Aptos Narrow"/>
      <family val="2"/>
      <scheme val="minor"/>
    </font>
    <font>
      <b/>
      <sz val="12"/>
      <color theme="1"/>
      <name val="Aptos Narrow"/>
      <family val="2"/>
      <scheme val="minor"/>
    </font>
    <font>
      <sz val="9"/>
      <color indexed="81"/>
      <name val="Tahoma"/>
      <charset val="1"/>
    </font>
    <font>
      <sz val="9"/>
      <color indexed="81"/>
      <name val="Tahoma"/>
      <family val="2"/>
    </font>
  </fonts>
  <fills count="4">
    <fill>
      <patternFill patternType="none"/>
    </fill>
    <fill>
      <patternFill patternType="gray125"/>
    </fill>
    <fill>
      <patternFill patternType="solid">
        <fgColor theme="5"/>
        <bgColor indexed="64"/>
      </patternFill>
    </fill>
    <fill>
      <patternFill patternType="solid">
        <fgColor theme="5" tint="0.39997558519241921"/>
        <bgColor indexed="64"/>
      </patternFill>
    </fill>
  </fills>
  <borders count="3">
    <border>
      <left/>
      <right/>
      <top/>
      <bottom/>
      <diagonal/>
    </border>
    <border>
      <left/>
      <right/>
      <top/>
      <bottom style="thin">
        <color indexed="64"/>
      </bottom>
      <diagonal/>
    </border>
    <border>
      <left/>
      <right/>
      <top style="thin">
        <color indexed="64"/>
      </top>
      <bottom style="double">
        <color indexed="64"/>
      </bottom>
      <diagonal/>
    </border>
  </borders>
  <cellStyleXfs count="4">
    <xf numFmtId="0" fontId="0" fillId="0" borderId="0"/>
    <xf numFmtId="41" fontId="1" fillId="0" borderId="0" applyFont="0" applyFill="0" applyBorder="0" applyAlignment="0" applyProtection="0"/>
    <xf numFmtId="0" fontId="5" fillId="0" borderId="0"/>
    <xf numFmtId="0" fontId="6" fillId="0" borderId="1"/>
  </cellStyleXfs>
  <cellXfs count="22">
    <xf numFmtId="0" fontId="0" fillId="0" borderId="0" xfId="0"/>
    <xf numFmtId="41" fontId="0" fillId="0" borderId="0" xfId="1" applyFont="1"/>
    <xf numFmtId="164" fontId="0" fillId="0" borderId="0" xfId="1" applyNumberFormat="1" applyFont="1"/>
    <xf numFmtId="41" fontId="0" fillId="0" borderId="1" xfId="1" applyFont="1" applyBorder="1"/>
    <xf numFmtId="0" fontId="2" fillId="0" borderId="0" xfId="0" applyFont="1" applyAlignment="1">
      <alignment horizontal="center"/>
    </xf>
    <xf numFmtId="41" fontId="3" fillId="0" borderId="0" xfId="1" applyFont="1"/>
    <xf numFmtId="164" fontId="0" fillId="0" borderId="1" xfId="1" applyNumberFormat="1" applyFont="1" applyBorder="1"/>
    <xf numFmtId="44" fontId="0" fillId="0" borderId="2" xfId="1" applyNumberFormat="1" applyFont="1" applyBorder="1"/>
    <xf numFmtId="43" fontId="0" fillId="0" borderId="0" xfId="0" applyNumberFormat="1"/>
    <xf numFmtId="41" fontId="4" fillId="0" borderId="0" xfId="1" applyFont="1"/>
    <xf numFmtId="0" fontId="0" fillId="0" borderId="0" xfId="0" applyAlignment="1">
      <alignment wrapText="1"/>
    </xf>
    <xf numFmtId="164" fontId="0" fillId="0" borderId="0" xfId="1" applyNumberFormat="1" applyFont="1" applyFill="1"/>
    <xf numFmtId="0" fontId="3" fillId="0" borderId="0" xfId="0" applyFont="1"/>
    <xf numFmtId="164" fontId="0" fillId="0" borderId="2" xfId="0" applyNumberFormat="1" applyBorder="1"/>
    <xf numFmtId="0" fontId="2" fillId="0" borderId="0" xfId="0" applyFont="1"/>
    <xf numFmtId="41" fontId="0" fillId="0" borderId="0" xfId="1" applyFont="1" applyFill="1"/>
    <xf numFmtId="0" fontId="5" fillId="2" borderId="0" xfId="0" applyFont="1" applyFill="1"/>
    <xf numFmtId="0" fontId="0" fillId="2" borderId="0" xfId="0" applyFill="1"/>
    <xf numFmtId="0" fontId="0" fillId="3" borderId="0" xfId="0" applyFill="1"/>
    <xf numFmtId="4" fontId="0" fillId="0" borderId="0" xfId="0" applyNumberFormat="1"/>
    <xf numFmtId="0" fontId="3" fillId="0" borderId="0" xfId="1" applyNumberFormat="1" applyFont="1"/>
    <xf numFmtId="41" fontId="2" fillId="3" borderId="0" xfId="1" applyFont="1" applyFill="1" applyAlignment="1">
      <alignment horizontal="center" wrapText="1"/>
    </xf>
  </cellXfs>
  <cellStyles count="4">
    <cellStyle name="Comma [0]" xfId="1" builtinId="6"/>
    <cellStyle name="HeaderCellStyle" xfId="3" xr:uid="{93FF8EAF-C480-424E-B208-0F214DC59E10}"/>
    <cellStyle name="Normal" xfId="0" builtinId="0"/>
    <cellStyle name="Normal 2" xfId="2" xr:uid="{0D318B64-8FA0-470E-833E-E76E0CBF55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ith VonDran" id="{D9B1D6C6-1A6B-44F4-931C-69BC18E902E6}" userId="S::fvondran@tempusrealty.com::3322b489-f6e2-41f3-912d-be433d080fe1" providerId="AD"/>
</personList>
</file>

<file path=xl/theme/theme1.xml><?xml version="1.0" encoding="utf-8"?>
<a:theme xmlns:a="http://schemas.openxmlformats.org/drawingml/2006/main" name="Office Theme">
  <a:themeElements>
    <a:clrScheme name="GROW">
      <a:dk1>
        <a:sysClr val="windowText" lastClr="000000"/>
      </a:dk1>
      <a:lt1>
        <a:sysClr val="window" lastClr="FFFFFF"/>
      </a:lt1>
      <a:dk2>
        <a:srgbClr val="0E2841"/>
      </a:dk2>
      <a:lt2>
        <a:srgbClr val="E8E8E8"/>
      </a:lt2>
      <a:accent1>
        <a:srgbClr val="1A2952"/>
      </a:accent1>
      <a:accent2>
        <a:srgbClr val="6DBE7C"/>
      </a:accent2>
      <a:accent3>
        <a:srgbClr val="196B24"/>
      </a:accent3>
      <a:accent4>
        <a:srgbClr val="32468D"/>
      </a:accent4>
      <a:accent5>
        <a:srgbClr val="88C694"/>
      </a:accent5>
      <a:accent6>
        <a:srgbClr val="96B9D7"/>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9" dT="2026-01-05T19:54:15.49" personId="{D9B1D6C6-1A6B-44F4-931C-69BC18E902E6}" id="{7B660F1C-022C-420E-88ED-2200289C51A3}">
    <text>According to our MOU GROW provides annual grants to EA in the amounts of:
Year 1 - $10,692
Year 2 - $8,070
Year 3 - $3,377
For a total of $22,139 over three years.</text>
  </threadedComment>
  <threadedComment ref="D30" dT="2026-01-05T20:08:50.72" personId="{D9B1D6C6-1A6B-44F4-931C-69BC18E902E6}" id="{81C8702D-5706-429D-8536-C0C748C2A4BF}">
    <text>Amount charged over and above the agreed upon annual grant in Y1 to cover the development and printing of financial education curriculum.</text>
  </threadedComment>
  <threadedComment ref="C64" dT="2026-01-05T20:19:58.62" personId="{D9B1D6C6-1A6B-44F4-931C-69BC18E902E6}" id="{BDCD8382-73A9-42C0-836A-7E913080FE89}">
    <text>2.5 administration/accounting hours per week x 10 months</text>
  </threadedComment>
  <threadedComment ref="D64" dT="2026-01-05T20:19:08.83" personId="{D9B1D6C6-1A6B-44F4-931C-69BC18E902E6}" id="{5FFC4F1E-3402-4CA3-AF3B-09766900889F}">
    <text>5.5 launch hrs x 16 volunteers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54816-0E57-450D-B35F-AA984F472A6C}">
  <dimension ref="A1:K68"/>
  <sheetViews>
    <sheetView tabSelected="1" workbookViewId="0">
      <selection activeCell="H12" sqref="H12"/>
    </sheetView>
  </sheetViews>
  <sheetFormatPr defaultRowHeight="14.5" x14ac:dyDescent="0.35"/>
  <cols>
    <col min="1" max="1" width="5.08984375" customWidth="1"/>
    <col min="2" max="2" width="89.54296875" bestFit="1" customWidth="1"/>
    <col min="3" max="3" width="16" customWidth="1"/>
    <col min="4" max="4" width="13.08984375" customWidth="1"/>
    <col min="5" max="5" width="9.1796875" bestFit="1" customWidth="1"/>
  </cols>
  <sheetData>
    <row r="1" spans="1:11" ht="16" x14ac:dyDescent="0.4">
      <c r="A1" s="16" t="s">
        <v>12</v>
      </c>
      <c r="B1" s="17"/>
      <c r="C1" s="17"/>
      <c r="D1" s="17"/>
    </row>
    <row r="3" spans="1:11" x14ac:dyDescent="0.35">
      <c r="A3" s="14" t="s">
        <v>0</v>
      </c>
      <c r="B3" s="14"/>
    </row>
    <row r="4" spans="1:11" x14ac:dyDescent="0.35">
      <c r="B4" t="s">
        <v>25</v>
      </c>
    </row>
    <row r="5" spans="1:11" x14ac:dyDescent="0.35">
      <c r="C5" s="4" t="s">
        <v>9</v>
      </c>
      <c r="D5" s="4" t="s">
        <v>10</v>
      </c>
    </row>
    <row r="6" spans="1:11" x14ac:dyDescent="0.35">
      <c r="A6" t="s">
        <v>1</v>
      </c>
      <c r="B6" t="s">
        <v>5</v>
      </c>
      <c r="C6" s="2">
        <v>245404</v>
      </c>
      <c r="D6" s="2">
        <v>10800.18</v>
      </c>
      <c r="E6" s="1"/>
      <c r="F6" s="1"/>
      <c r="G6" s="1"/>
      <c r="H6" s="1"/>
      <c r="I6" s="1"/>
      <c r="J6" s="1"/>
      <c r="K6" s="1"/>
    </row>
    <row r="7" spans="1:11" x14ac:dyDescent="0.35">
      <c r="A7" t="s">
        <v>2</v>
      </c>
      <c r="B7" t="s">
        <v>6</v>
      </c>
      <c r="C7" s="1">
        <v>0</v>
      </c>
      <c r="D7" s="1">
        <v>0</v>
      </c>
      <c r="E7" s="5" t="s">
        <v>11</v>
      </c>
      <c r="F7" s="1"/>
      <c r="G7" s="1"/>
      <c r="H7" s="1"/>
      <c r="I7" s="1"/>
      <c r="J7" s="1"/>
      <c r="K7" s="1"/>
    </row>
    <row r="8" spans="1:11" x14ac:dyDescent="0.35">
      <c r="A8" t="s">
        <v>3</v>
      </c>
      <c r="B8" t="s">
        <v>7</v>
      </c>
      <c r="C8" s="1">
        <v>0</v>
      </c>
      <c r="D8" s="1">
        <v>0</v>
      </c>
      <c r="E8" s="1"/>
      <c r="F8" s="1"/>
      <c r="G8" s="1"/>
      <c r="H8" s="1"/>
      <c r="I8" s="1"/>
      <c r="J8" s="1"/>
      <c r="K8" s="1"/>
    </row>
    <row r="9" spans="1:11" x14ac:dyDescent="0.35">
      <c r="A9" t="s">
        <v>4</v>
      </c>
      <c r="B9" t="s">
        <v>8</v>
      </c>
      <c r="C9" s="3">
        <v>0</v>
      </c>
      <c r="D9" s="3">
        <v>0</v>
      </c>
      <c r="E9" s="1"/>
      <c r="F9" s="1"/>
      <c r="G9" s="1"/>
      <c r="H9" s="1"/>
      <c r="I9" s="1"/>
      <c r="J9" s="1"/>
      <c r="K9" s="1"/>
    </row>
    <row r="10" spans="1:11" ht="15" thickBot="1" x14ac:dyDescent="0.4">
      <c r="C10" s="7">
        <f>SUM(C6:C9)</f>
        <v>245404</v>
      </c>
      <c r="D10" s="7">
        <f>SUM(D6:D9)</f>
        <v>10800.18</v>
      </c>
      <c r="E10" s="1"/>
      <c r="F10" s="1"/>
      <c r="G10" s="1"/>
      <c r="H10" s="1"/>
      <c r="I10" s="1"/>
      <c r="J10" s="1"/>
      <c r="K10" s="1"/>
    </row>
    <row r="11" spans="1:11" ht="15" thickTop="1" x14ac:dyDescent="0.35">
      <c r="C11" s="1"/>
      <c r="D11" s="1"/>
      <c r="E11" s="1"/>
      <c r="F11" s="1"/>
      <c r="G11" s="1"/>
      <c r="H11" s="1"/>
      <c r="I11" s="1"/>
      <c r="J11" s="1"/>
      <c r="K11" s="1"/>
    </row>
    <row r="12" spans="1:11" ht="29" x14ac:dyDescent="0.35">
      <c r="A12" s="18"/>
      <c r="B12" s="18"/>
      <c r="C12" s="21" t="s">
        <v>49</v>
      </c>
      <c r="D12" s="21" t="s">
        <v>50</v>
      </c>
      <c r="E12" s="1"/>
      <c r="F12" s="1"/>
      <c r="G12" s="1"/>
      <c r="H12" s="1"/>
      <c r="I12" s="1"/>
      <c r="J12" s="1"/>
      <c r="K12" s="1"/>
    </row>
    <row r="13" spans="1:11" x14ac:dyDescent="0.35">
      <c r="A13" s="14" t="s">
        <v>13</v>
      </c>
    </row>
    <row r="14" spans="1:11" x14ac:dyDescent="0.35">
      <c r="B14" t="s">
        <v>25</v>
      </c>
      <c r="C14" s="1"/>
      <c r="D14" s="1"/>
    </row>
    <row r="15" spans="1:11" x14ac:dyDescent="0.35">
      <c r="C15" s="1"/>
      <c r="D15" s="1"/>
    </row>
    <row r="16" spans="1:11" x14ac:dyDescent="0.35">
      <c r="A16" t="s">
        <v>1</v>
      </c>
      <c r="B16" t="s">
        <v>17</v>
      </c>
      <c r="C16" s="2">
        <v>5000</v>
      </c>
      <c r="D16" s="1">
        <v>0</v>
      </c>
    </row>
    <row r="17" spans="1:6" x14ac:dyDescent="0.35">
      <c r="A17" t="s">
        <v>2</v>
      </c>
      <c r="B17" t="s">
        <v>18</v>
      </c>
      <c r="C17" s="2">
        <v>0</v>
      </c>
      <c r="D17" s="2">
        <v>0</v>
      </c>
      <c r="E17" s="5" t="s">
        <v>24</v>
      </c>
    </row>
    <row r="18" spans="1:6" x14ac:dyDescent="0.35">
      <c r="A18" t="s">
        <v>3</v>
      </c>
      <c r="B18" t="s">
        <v>19</v>
      </c>
      <c r="C18" s="2">
        <v>0</v>
      </c>
      <c r="D18" s="2">
        <v>0</v>
      </c>
      <c r="E18" s="1"/>
    </row>
    <row r="19" spans="1:6" x14ac:dyDescent="0.35">
      <c r="A19" t="s">
        <v>4</v>
      </c>
      <c r="B19" t="s">
        <v>20</v>
      </c>
      <c r="C19" s="2">
        <v>10692</v>
      </c>
      <c r="D19" s="1">
        <v>0</v>
      </c>
      <c r="E19" s="1"/>
      <c r="F19" s="8"/>
    </row>
    <row r="20" spans="1:6" x14ac:dyDescent="0.35">
      <c r="A20" t="s">
        <v>14</v>
      </c>
      <c r="B20" t="s">
        <v>21</v>
      </c>
      <c r="C20" s="2">
        <v>57725</v>
      </c>
      <c r="D20" s="19">
        <v>4423.05</v>
      </c>
      <c r="E20" s="1"/>
    </row>
    <row r="21" spans="1:6" x14ac:dyDescent="0.35">
      <c r="A21" t="s">
        <v>15</v>
      </c>
      <c r="B21" t="s">
        <v>22</v>
      </c>
      <c r="C21" s="2">
        <v>12914.72</v>
      </c>
      <c r="D21" s="1">
        <v>0</v>
      </c>
      <c r="E21" s="1"/>
    </row>
    <row r="22" spans="1:6" x14ac:dyDescent="0.35">
      <c r="A22" t="s">
        <v>16</v>
      </c>
      <c r="B22" t="s">
        <v>23</v>
      </c>
      <c r="C22" s="6">
        <v>5000</v>
      </c>
      <c r="D22" s="1">
        <v>0</v>
      </c>
      <c r="E22" s="1"/>
    </row>
    <row r="23" spans="1:6" ht="15" thickBot="1" x14ac:dyDescent="0.4">
      <c r="C23" s="7">
        <f>SUM(C16:C22)</f>
        <v>91331.72</v>
      </c>
      <c r="D23" s="7">
        <f>SUM(D16:D22)</f>
        <v>4423.05</v>
      </c>
      <c r="E23" s="1"/>
    </row>
    <row r="24" spans="1:6" ht="15" thickTop="1" x14ac:dyDescent="0.35">
      <c r="C24" s="2"/>
      <c r="E24" s="1"/>
    </row>
    <row r="25" spans="1:6" x14ac:dyDescent="0.35">
      <c r="A25" s="14" t="s">
        <v>26</v>
      </c>
      <c r="C25" s="2"/>
      <c r="E25" s="1"/>
    </row>
    <row r="26" spans="1:6" x14ac:dyDescent="0.35">
      <c r="B26" t="s">
        <v>25</v>
      </c>
      <c r="C26" s="1"/>
      <c r="E26" s="1"/>
    </row>
    <row r="27" spans="1:6" x14ac:dyDescent="0.35">
      <c r="C27" s="1"/>
      <c r="E27" s="1"/>
    </row>
    <row r="28" spans="1:6" x14ac:dyDescent="0.35">
      <c r="A28" t="s">
        <v>1</v>
      </c>
      <c r="B28" s="10" t="s">
        <v>27</v>
      </c>
      <c r="C28">
        <v>190</v>
      </c>
      <c r="D28" s="2">
        <f>59874.94-500-190</f>
        <v>59184.94</v>
      </c>
      <c r="E28" s="20" t="s">
        <v>51</v>
      </c>
    </row>
    <row r="29" spans="1:6" x14ac:dyDescent="0.35">
      <c r="A29" t="s">
        <v>2</v>
      </c>
      <c r="B29" t="s">
        <v>28</v>
      </c>
      <c r="C29" s="2">
        <v>0</v>
      </c>
      <c r="D29" s="2">
        <v>0</v>
      </c>
      <c r="E29" s="1"/>
    </row>
    <row r="30" spans="1:6" ht="29" x14ac:dyDescent="0.35">
      <c r="A30" t="s">
        <v>3</v>
      </c>
      <c r="B30" s="10" t="s">
        <v>29</v>
      </c>
      <c r="C30" s="2">
        <v>0</v>
      </c>
      <c r="D30" s="2">
        <v>5392.69</v>
      </c>
      <c r="E30" s="9"/>
    </row>
    <row r="31" spans="1:6" ht="15" thickBot="1" x14ac:dyDescent="0.4">
      <c r="C31" s="7">
        <f>SUM(C28:C30)</f>
        <v>190</v>
      </c>
      <c r="D31" s="7">
        <f>SUM(D28:D30)</f>
        <v>64577.630000000005</v>
      </c>
      <c r="E31" s="9"/>
    </row>
    <row r="32" spans="1:6" ht="15" thickTop="1" x14ac:dyDescent="0.35">
      <c r="C32" s="1"/>
      <c r="E32" s="1"/>
    </row>
    <row r="33" spans="1:6" x14ac:dyDescent="0.35">
      <c r="A33" s="14" t="s">
        <v>30</v>
      </c>
      <c r="C33" s="1"/>
      <c r="E33" s="1"/>
    </row>
    <row r="34" spans="1:6" x14ac:dyDescent="0.35">
      <c r="B34" t="s">
        <v>25</v>
      </c>
      <c r="C34" s="1"/>
      <c r="E34" s="1"/>
    </row>
    <row r="35" spans="1:6" x14ac:dyDescent="0.35">
      <c r="C35" s="15"/>
      <c r="E35" s="1"/>
    </row>
    <row r="36" spans="1:6" x14ac:dyDescent="0.35">
      <c r="A36" t="s">
        <v>1</v>
      </c>
      <c r="B36" t="s">
        <v>35</v>
      </c>
      <c r="C36" s="11">
        <v>1500</v>
      </c>
      <c r="D36" s="2">
        <v>0</v>
      </c>
      <c r="E36" s="9"/>
    </row>
    <row r="37" spans="1:6" x14ac:dyDescent="0.35">
      <c r="A37" t="s">
        <v>2</v>
      </c>
      <c r="B37" t="s">
        <v>36</v>
      </c>
      <c r="C37" s="11">
        <f>310.34+1500</f>
        <v>1810.34</v>
      </c>
      <c r="D37" s="2">
        <v>0</v>
      </c>
      <c r="F37" s="9" t="s">
        <v>46</v>
      </c>
    </row>
    <row r="38" spans="1:6" ht="15" thickBot="1" x14ac:dyDescent="0.4">
      <c r="C38" s="7">
        <f>SUM(C36:C37)</f>
        <v>3310.34</v>
      </c>
      <c r="D38" s="7">
        <f>SUM(D36:D37)</f>
        <v>0</v>
      </c>
      <c r="E38" s="1"/>
    </row>
    <row r="39" spans="1:6" ht="15" thickTop="1" x14ac:dyDescent="0.35"/>
    <row r="40" spans="1:6" x14ac:dyDescent="0.35">
      <c r="A40" s="14" t="s">
        <v>31</v>
      </c>
    </row>
    <row r="41" spans="1:6" x14ac:dyDescent="0.35">
      <c r="B41" t="s">
        <v>25</v>
      </c>
    </row>
    <row r="43" spans="1:6" x14ac:dyDescent="0.35">
      <c r="A43" t="s">
        <v>1</v>
      </c>
      <c r="B43" t="s">
        <v>37</v>
      </c>
      <c r="C43" s="2">
        <v>0</v>
      </c>
      <c r="D43" s="11">
        <v>500</v>
      </c>
    </row>
    <row r="44" spans="1:6" x14ac:dyDescent="0.35">
      <c r="A44" t="s">
        <v>2</v>
      </c>
      <c r="B44" t="s">
        <v>38</v>
      </c>
      <c r="C44" s="2">
        <v>0</v>
      </c>
      <c r="D44" s="2">
        <v>0</v>
      </c>
    </row>
    <row r="45" spans="1:6" ht="15" thickBot="1" x14ac:dyDescent="0.4">
      <c r="C45" s="7">
        <f>SUM(C43:C44)</f>
        <v>0</v>
      </c>
      <c r="D45" s="7">
        <f>SUM(D43:D44)</f>
        <v>500</v>
      </c>
    </row>
    <row r="46" spans="1:6" ht="15" thickTop="1" x14ac:dyDescent="0.35"/>
    <row r="47" spans="1:6" x14ac:dyDescent="0.35">
      <c r="A47" s="14" t="s">
        <v>32</v>
      </c>
    </row>
    <row r="48" spans="1:6" x14ac:dyDescent="0.35">
      <c r="B48" t="s">
        <v>25</v>
      </c>
    </row>
    <row r="50" spans="1:5" x14ac:dyDescent="0.35">
      <c r="A50" t="s">
        <v>1</v>
      </c>
      <c r="B50" t="s">
        <v>39</v>
      </c>
      <c r="C50" s="2">
        <v>0</v>
      </c>
      <c r="D50" s="2">
        <v>0</v>
      </c>
      <c r="E50" s="12" t="s">
        <v>47</v>
      </c>
    </row>
    <row r="51" spans="1:5" x14ac:dyDescent="0.35">
      <c r="A51" t="s">
        <v>2</v>
      </c>
      <c r="B51" t="s">
        <v>40</v>
      </c>
      <c r="C51" s="2">
        <v>0</v>
      </c>
      <c r="D51" s="2">
        <v>0</v>
      </c>
    </row>
    <row r="52" spans="1:5" ht="15" thickBot="1" x14ac:dyDescent="0.4">
      <c r="C52" s="7">
        <f>SUM(C50:C51)</f>
        <v>0</v>
      </c>
      <c r="D52" s="7">
        <f>SUM(D50:D51)</f>
        <v>0</v>
      </c>
    </row>
    <row r="53" spans="1:5" ht="15" thickTop="1" x14ac:dyDescent="0.35"/>
    <row r="54" spans="1:5" x14ac:dyDescent="0.35">
      <c r="A54" s="14" t="s">
        <v>33</v>
      </c>
    </row>
    <row r="55" spans="1:5" x14ac:dyDescent="0.35">
      <c r="B55" t="s">
        <v>48</v>
      </c>
    </row>
    <row r="57" spans="1:5" x14ac:dyDescent="0.35">
      <c r="A57" t="s">
        <v>1</v>
      </c>
      <c r="B57" t="s">
        <v>41</v>
      </c>
      <c r="C57" s="11">
        <v>0</v>
      </c>
      <c r="D57" s="11">
        <v>0</v>
      </c>
    </row>
    <row r="58" spans="1:5" x14ac:dyDescent="0.35">
      <c r="A58" t="s">
        <v>2</v>
      </c>
      <c r="B58" t="s">
        <v>42</v>
      </c>
      <c r="C58" s="2">
        <v>4</v>
      </c>
      <c r="D58" s="11">
        <v>0</v>
      </c>
    </row>
    <row r="59" spans="1:5" ht="15" thickBot="1" x14ac:dyDescent="0.4">
      <c r="C59" s="13">
        <f>SUM(C57:C58)</f>
        <v>4</v>
      </c>
      <c r="D59" s="13">
        <f>SUM(D57:D58)</f>
        <v>0</v>
      </c>
    </row>
    <row r="60" spans="1:5" ht="15" thickTop="1" x14ac:dyDescent="0.35"/>
    <row r="61" spans="1:5" x14ac:dyDescent="0.35">
      <c r="A61" s="14" t="s">
        <v>34</v>
      </c>
    </row>
    <row r="62" spans="1:5" x14ac:dyDescent="0.35">
      <c r="B62" t="s">
        <v>48</v>
      </c>
    </row>
    <row r="64" spans="1:5" x14ac:dyDescent="0.35">
      <c r="A64" t="s">
        <v>1</v>
      </c>
      <c r="B64" t="s">
        <v>43</v>
      </c>
      <c r="C64">
        <f>(2.5*40)</f>
        <v>100</v>
      </c>
      <c r="D64" s="11">
        <f>(5.5*16)</f>
        <v>88</v>
      </c>
      <c r="E64" s="12"/>
    </row>
    <row r="65" spans="1:4" x14ac:dyDescent="0.35">
      <c r="A65" t="s">
        <v>2</v>
      </c>
      <c r="B65" t="s">
        <v>44</v>
      </c>
      <c r="C65" s="11">
        <v>0</v>
      </c>
      <c r="D65" s="11">
        <v>0</v>
      </c>
    </row>
    <row r="66" spans="1:4" x14ac:dyDescent="0.35">
      <c r="A66" t="s">
        <v>3</v>
      </c>
      <c r="B66" t="s">
        <v>45</v>
      </c>
      <c r="C66" s="11">
        <v>0</v>
      </c>
      <c r="D66" s="11">
        <v>0</v>
      </c>
    </row>
    <row r="67" spans="1:4" ht="15" thickBot="1" x14ac:dyDescent="0.4">
      <c r="C67" s="13">
        <f>SUM(C64:C66)</f>
        <v>100</v>
      </c>
      <c r="D67" s="13">
        <f>SUM(D64:D66)</f>
        <v>88</v>
      </c>
    </row>
    <row r="68" spans="1:4" ht="15" thickTop="1" x14ac:dyDescent="0.35"/>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Clinton School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Faith VonDran</dc:creator>
  <cp:lastModifiedBy>Faith VonDran</cp:lastModifiedBy>
  <dcterms:created xsi:type="dcterms:W3CDTF">2025-12-11T20:53:46Z</dcterms:created>
  <dcterms:modified xsi:type="dcterms:W3CDTF">2026-01-05T20:22:47Z</dcterms:modified>
</cp:coreProperties>
</file>