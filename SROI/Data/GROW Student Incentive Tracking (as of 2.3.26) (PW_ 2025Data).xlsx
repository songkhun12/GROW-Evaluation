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CHR LIST (GROW)" sheetId="1" r:id="rId4"/>
    <sheet state="visible" name="K-Daniel" sheetId="2" r:id="rId5"/>
    <sheet state="visible" name="K-Couch" sheetId="3" r:id="rId6"/>
    <sheet state="visible" name="K-Helena" sheetId="4" r:id="rId7"/>
    <sheet state="visible" name="1-Livingston" sheetId="5" r:id="rId8"/>
    <sheet state="visible" name="1-Robinson" sheetId="6" r:id="rId9"/>
    <sheet state="visible" name="1-Williams" sheetId="7" r:id="rId10"/>
    <sheet state="visible" name="2-Boone" sheetId="8" r:id="rId11"/>
    <sheet state="visible" name="2-Crotts" sheetId="9" r:id="rId12"/>
    <sheet state="visible" name="2-Russell" sheetId="10" r:id="rId13"/>
    <sheet state="visible" name="3-Gulley" sheetId="11" r:id="rId14"/>
    <sheet state="visible" name="3-Lovell" sheetId="12" r:id="rId15"/>
    <sheet state="visible" name="3-Moss" sheetId="13" r:id="rId16"/>
    <sheet state="visible" name="3-Taylor" sheetId="14" r:id="rId17"/>
    <sheet state="visible" name="5-Guy" sheetId="15" r:id="rId18"/>
    <sheet state="visible" name="5-Easterling" sheetId="16" r:id="rId19"/>
    <sheet state="visible" name="4-Eskridge" sheetId="17" r:id="rId20"/>
    <sheet state="visible" name="4-Henderson" sheetId="18" r:id="rId21"/>
    <sheet state="visible" name="4-Warren" sheetId="19" r:id="rId22"/>
    <sheet state="visible" name="K5-Ramsey" sheetId="20" r:id="rId23"/>
    <sheet state="visible" name="Summary Dashboard" sheetId="21" r:id="rId24"/>
  </sheets>
  <definedNames/>
  <calcPr/>
  <extLst>
    <ext uri="GoogleSheetsCustomDataVersion2">
      <go:sheetsCustomData xmlns:go="http://customooxmlschemas.google.com/" r:id="rId25" roundtripDataChecksum="fPeEotf/rkVp/teBAAaFfMZofgMXYAcb6R2y4XaOAKA="/>
    </ext>
  </extLst>
</workbook>
</file>

<file path=xl/sharedStrings.xml><?xml version="1.0" encoding="utf-8"?>
<sst xmlns="http://schemas.openxmlformats.org/spreadsheetml/2006/main" count="4340" uniqueCount="651">
  <si>
    <t>Grade Level</t>
  </si>
  <si>
    <t>Student ID</t>
  </si>
  <si>
    <t>Student's Last Name</t>
  </si>
  <si>
    <t>Student's First Name</t>
  </si>
  <si>
    <t>Age</t>
  </si>
  <si>
    <t>Race/Ethnicity</t>
  </si>
  <si>
    <t>Gender</t>
  </si>
  <si>
    <t>OPTED OUT OF GROW</t>
  </si>
  <si>
    <t>Incentive 1-           EA Lesson Activities</t>
  </si>
  <si>
    <t>Incentive 2-        1 HR Fin. Literacy Module Online</t>
  </si>
  <si>
    <t>Incentive 3- Met Reading Goal</t>
  </si>
  <si>
    <t>Number of "think time" sheets this semester (2 nine weeks)</t>
  </si>
  <si>
    <t>Incentive 4-      Met Behavior Goal</t>
  </si>
  <si>
    <t>Number of days  missed this semester</t>
  </si>
  <si>
    <t>Incentive 5-        Miss three days or less</t>
  </si>
  <si>
    <t>Teacher Verification</t>
  </si>
  <si>
    <t>Rewards</t>
  </si>
  <si>
    <t>Kindergarten</t>
  </si>
  <si>
    <t>Barnes</t>
  </si>
  <si>
    <t>Khloe</t>
  </si>
  <si>
    <t>B</t>
  </si>
  <si>
    <t>F</t>
  </si>
  <si>
    <t>✔</t>
  </si>
  <si>
    <t>X</t>
  </si>
  <si>
    <t>Barber</t>
  </si>
  <si>
    <t>Amaya</t>
  </si>
  <si>
    <t xml:space="preserve"> </t>
  </si>
  <si>
    <t xml:space="preserve">Brownlee </t>
  </si>
  <si>
    <t xml:space="preserve">Jameiria </t>
  </si>
  <si>
    <t>Criss</t>
  </si>
  <si>
    <t>Kali</t>
  </si>
  <si>
    <t>Ellebb</t>
  </si>
  <si>
    <t>Carmello</t>
  </si>
  <si>
    <t>M</t>
  </si>
  <si>
    <t>Fiske</t>
  </si>
  <si>
    <t>Carter</t>
  </si>
  <si>
    <t>Hampton</t>
  </si>
  <si>
    <t>Jassiah</t>
  </si>
  <si>
    <t>Hill</t>
  </si>
  <si>
    <t>Ezra</t>
  </si>
  <si>
    <t>Jackson</t>
  </si>
  <si>
    <t>Kyrie</t>
  </si>
  <si>
    <t>B/W</t>
  </si>
  <si>
    <t>King</t>
  </si>
  <si>
    <t>Terrion</t>
  </si>
  <si>
    <t>Lawson</t>
  </si>
  <si>
    <t xml:space="preserve">Kadence </t>
  </si>
  <si>
    <t>Lewis</t>
  </si>
  <si>
    <t>Kay-Ella</t>
  </si>
  <si>
    <t>Martindale</t>
  </si>
  <si>
    <t>Bella</t>
  </si>
  <si>
    <t>Neal</t>
  </si>
  <si>
    <t>LaDarren</t>
  </si>
  <si>
    <t>Rogers</t>
  </si>
  <si>
    <t>Everleigh</t>
  </si>
  <si>
    <t>W</t>
  </si>
  <si>
    <t>Sloan</t>
  </si>
  <si>
    <t>Ashden</t>
  </si>
  <si>
    <t>Thompson</t>
  </si>
  <si>
    <t>Caiden</t>
  </si>
  <si>
    <t>White</t>
  </si>
  <si>
    <t>Makhi</t>
  </si>
  <si>
    <t>Wilborn</t>
  </si>
  <si>
    <t>Marcello</t>
  </si>
  <si>
    <t>Akins</t>
  </si>
  <si>
    <t>Osiah</t>
  </si>
  <si>
    <t>Cliyah</t>
  </si>
  <si>
    <t>Bibbs</t>
  </si>
  <si>
    <t>MiLaa</t>
  </si>
  <si>
    <t>Brown</t>
  </si>
  <si>
    <t>Jayce</t>
  </si>
  <si>
    <t xml:space="preserve">B </t>
  </si>
  <si>
    <t>Cage</t>
  </si>
  <si>
    <t>Syaire</t>
  </si>
  <si>
    <t>Jamarrion</t>
  </si>
  <si>
    <t>Jimini</t>
  </si>
  <si>
    <t>Clark</t>
  </si>
  <si>
    <t>Kainen</t>
  </si>
  <si>
    <t>Herring</t>
  </si>
  <si>
    <t>Chrisitian</t>
  </si>
  <si>
    <t>Hines</t>
  </si>
  <si>
    <t>Blaine</t>
  </si>
  <si>
    <t>Ice</t>
  </si>
  <si>
    <t>Seven</t>
  </si>
  <si>
    <t>Mack</t>
  </si>
  <si>
    <t>Symphani</t>
  </si>
  <si>
    <t>Martin</t>
  </si>
  <si>
    <t>Serenity</t>
  </si>
  <si>
    <t>Moore</t>
  </si>
  <si>
    <t>Liliana</t>
  </si>
  <si>
    <t>Robinson</t>
  </si>
  <si>
    <t>Sims</t>
  </si>
  <si>
    <t>Wesley</t>
  </si>
  <si>
    <t>Spencer</t>
  </si>
  <si>
    <t>Hayden</t>
  </si>
  <si>
    <t>Wade</t>
  </si>
  <si>
    <t>Coulton</t>
  </si>
  <si>
    <t>Withers</t>
  </si>
  <si>
    <t>Messiah</t>
  </si>
  <si>
    <t>Adams</t>
  </si>
  <si>
    <t>Andrea</t>
  </si>
  <si>
    <t>Bennett</t>
  </si>
  <si>
    <t>Ra'Niya</t>
  </si>
  <si>
    <t>Chacon</t>
  </si>
  <si>
    <t>Diego</t>
  </si>
  <si>
    <t>Davis</t>
  </si>
  <si>
    <t>Kay'Styn</t>
  </si>
  <si>
    <t>Gray</t>
  </si>
  <si>
    <t>MaKenzi</t>
  </si>
  <si>
    <t>Handley</t>
  </si>
  <si>
    <t>Novah</t>
  </si>
  <si>
    <t>Henry</t>
  </si>
  <si>
    <t>Christian</t>
  </si>
  <si>
    <t>Hood</t>
  </si>
  <si>
    <t>Zy'lee</t>
  </si>
  <si>
    <t>Jaxon</t>
  </si>
  <si>
    <t>Martinez</t>
  </si>
  <si>
    <t>Sofia</t>
  </si>
  <si>
    <t>Maxwell</t>
  </si>
  <si>
    <t>Tristian</t>
  </si>
  <si>
    <t>Miller</t>
  </si>
  <si>
    <t>Christopher</t>
  </si>
  <si>
    <t>Owens</t>
  </si>
  <si>
    <t>Cyan</t>
  </si>
  <si>
    <t>Reed</t>
  </si>
  <si>
    <t>Jace</t>
  </si>
  <si>
    <t>Simons</t>
  </si>
  <si>
    <t>Aubrey</t>
  </si>
  <si>
    <t>Jelani</t>
  </si>
  <si>
    <t>Walker</t>
  </si>
  <si>
    <t>Oaklyn</t>
  </si>
  <si>
    <t>Williams</t>
  </si>
  <si>
    <t>JaRell</t>
  </si>
  <si>
    <t>Wright III</t>
  </si>
  <si>
    <t>Theodis</t>
  </si>
  <si>
    <t xml:space="preserve">01-First </t>
  </si>
  <si>
    <t>Allen</t>
  </si>
  <si>
    <t>Rae</t>
  </si>
  <si>
    <t>Alston</t>
  </si>
  <si>
    <t>Khari</t>
  </si>
  <si>
    <t>Leyton</t>
  </si>
  <si>
    <t>Crossley</t>
  </si>
  <si>
    <t xml:space="preserve">Nhyla </t>
  </si>
  <si>
    <t>Doss</t>
  </si>
  <si>
    <t>Marie</t>
  </si>
  <si>
    <t>Gonder</t>
  </si>
  <si>
    <t>A'ryiah</t>
  </si>
  <si>
    <t>Hancock</t>
  </si>
  <si>
    <t>Esperanza</t>
  </si>
  <si>
    <t>Native American/Alaskan Native, W</t>
  </si>
  <si>
    <t>Jinna</t>
  </si>
  <si>
    <t>Jarhan</t>
  </si>
  <si>
    <t>Asian</t>
  </si>
  <si>
    <t>Juwairiya</t>
  </si>
  <si>
    <t>Montay</t>
  </si>
  <si>
    <t>Nichols</t>
  </si>
  <si>
    <t>Aveyon</t>
  </si>
  <si>
    <t>Black, Native American/Alaskan Native</t>
  </si>
  <si>
    <t>Reaves Jr.</t>
  </si>
  <si>
    <t>Mahlik</t>
  </si>
  <si>
    <t>Sims Jr.</t>
  </si>
  <si>
    <t>Elijah</t>
  </si>
  <si>
    <t>Starr</t>
  </si>
  <si>
    <t>A'king</t>
  </si>
  <si>
    <t>Tate</t>
  </si>
  <si>
    <t>Nadia</t>
  </si>
  <si>
    <t>Terry</t>
  </si>
  <si>
    <t>Ki'Ren</t>
  </si>
  <si>
    <t>Tillman</t>
  </si>
  <si>
    <t>Waters</t>
  </si>
  <si>
    <t>Webb</t>
  </si>
  <si>
    <t xml:space="preserve">Jaedyn </t>
  </si>
  <si>
    <t>`</t>
  </si>
  <si>
    <t>Dallas</t>
  </si>
  <si>
    <t>Arnett</t>
  </si>
  <si>
    <t>Journei</t>
  </si>
  <si>
    <t>Janiya</t>
  </si>
  <si>
    <t>Khylen</t>
  </si>
  <si>
    <t>Jamayah</t>
  </si>
  <si>
    <t>Cousette</t>
  </si>
  <si>
    <t>Amarion</t>
  </si>
  <si>
    <t>Fowler</t>
  </si>
  <si>
    <t>Aaliyah</t>
  </si>
  <si>
    <t>James</t>
  </si>
  <si>
    <t>Ayla</t>
  </si>
  <si>
    <t>Jenkins</t>
  </si>
  <si>
    <t>Kaden</t>
  </si>
  <si>
    <t>Johnson</t>
  </si>
  <si>
    <t>Brylee</t>
  </si>
  <si>
    <t xml:space="preserve"> Martinez-Aguilera</t>
  </si>
  <si>
    <t xml:space="preserve">Tiffany </t>
  </si>
  <si>
    <t>W/Hispanic</t>
  </si>
  <si>
    <t>McDaniel</t>
  </si>
  <si>
    <t>Micah</t>
  </si>
  <si>
    <t>McIntire</t>
  </si>
  <si>
    <t>Zakhilan</t>
  </si>
  <si>
    <t>McKinney</t>
  </si>
  <si>
    <t>Morant</t>
  </si>
  <si>
    <t>Mirielle</t>
  </si>
  <si>
    <t>Murphy III</t>
  </si>
  <si>
    <t>Barry</t>
  </si>
  <si>
    <t>Sampson Jr.</t>
  </si>
  <si>
    <t>Edward</t>
  </si>
  <si>
    <t>Smith</t>
  </si>
  <si>
    <t>Maleyah</t>
  </si>
  <si>
    <t>Treloar</t>
  </si>
  <si>
    <t xml:space="preserve">Jeremiah </t>
  </si>
  <si>
    <t>Josiah</t>
  </si>
  <si>
    <t>Woodfork</t>
  </si>
  <si>
    <t>Kynslei</t>
  </si>
  <si>
    <t>Beal</t>
  </si>
  <si>
    <t>Raelynn</t>
  </si>
  <si>
    <t>Brooks</t>
  </si>
  <si>
    <t>Dedrick</t>
  </si>
  <si>
    <t xml:space="preserve">Juilian </t>
  </si>
  <si>
    <t>Duncan</t>
  </si>
  <si>
    <t>CaLiyah</t>
  </si>
  <si>
    <t>Gause</t>
  </si>
  <si>
    <t>Robert</t>
  </si>
  <si>
    <t>Gomez</t>
  </si>
  <si>
    <t>Alexis</t>
  </si>
  <si>
    <t>Kace</t>
  </si>
  <si>
    <t>Ivory Jr.</t>
  </si>
  <si>
    <t>Brandon</t>
  </si>
  <si>
    <t>Jordan</t>
  </si>
  <si>
    <t>Mason</t>
  </si>
  <si>
    <t>Mackey</t>
  </si>
  <si>
    <t>Mendiola</t>
  </si>
  <si>
    <t>Ayesha</t>
  </si>
  <si>
    <t>Parker</t>
  </si>
  <si>
    <t>August</t>
  </si>
  <si>
    <t>Perry</t>
  </si>
  <si>
    <t>Denise</t>
  </si>
  <si>
    <t>Rios</t>
  </si>
  <si>
    <t>Samuel</t>
  </si>
  <si>
    <t>Raylynn</t>
  </si>
  <si>
    <t>Ross</t>
  </si>
  <si>
    <t>Karen</t>
  </si>
  <si>
    <t>McKenzie</t>
  </si>
  <si>
    <t>Daniel</t>
  </si>
  <si>
    <t>Tillmon</t>
  </si>
  <si>
    <t>Kanon</t>
  </si>
  <si>
    <t>02-Second</t>
  </si>
  <si>
    <t>Gabriel</t>
  </si>
  <si>
    <t>Caldwell</t>
  </si>
  <si>
    <t>Journee</t>
  </si>
  <si>
    <t xml:space="preserve">Davis </t>
  </si>
  <si>
    <t>Cailen</t>
  </si>
  <si>
    <t>Dobbins</t>
  </si>
  <si>
    <t>Londynn</t>
  </si>
  <si>
    <t>Glass</t>
  </si>
  <si>
    <t>Dakota</t>
  </si>
  <si>
    <t>HIll</t>
  </si>
  <si>
    <t>Emory</t>
  </si>
  <si>
    <t>Howell</t>
  </si>
  <si>
    <t>Hymes</t>
  </si>
  <si>
    <t>Jamerson</t>
  </si>
  <si>
    <t>Jakaiden</t>
  </si>
  <si>
    <t>Keyanna</t>
  </si>
  <si>
    <t>Medal</t>
  </si>
  <si>
    <t>Josue</t>
  </si>
  <si>
    <t>Nelson</t>
  </si>
  <si>
    <t>Ra'Zya</t>
  </si>
  <si>
    <t>Potter</t>
  </si>
  <si>
    <t>Elara</t>
  </si>
  <si>
    <t>Randle</t>
  </si>
  <si>
    <t xml:space="preserve">Kaydence </t>
  </si>
  <si>
    <t>Rodriguez, Leah Grace</t>
  </si>
  <si>
    <t>Rubio Hernandez, Matteo Alex</t>
  </si>
  <si>
    <t>Matteo</t>
  </si>
  <si>
    <t>Sampson</t>
  </si>
  <si>
    <t>Jeremiah</t>
  </si>
  <si>
    <t>Azonni</t>
  </si>
  <si>
    <t>Tucker</t>
  </si>
  <si>
    <t>Ar'Janae</t>
  </si>
  <si>
    <t>Kyi'ree</t>
  </si>
  <si>
    <t>Titus</t>
  </si>
  <si>
    <t>Wilson</t>
  </si>
  <si>
    <t>Karter</t>
  </si>
  <si>
    <t>Anderson</t>
  </si>
  <si>
    <t>Kai'Briel</t>
  </si>
  <si>
    <t>Bolden</t>
  </si>
  <si>
    <t>Ashton</t>
  </si>
  <si>
    <t>Crow</t>
  </si>
  <si>
    <t>Ervin</t>
  </si>
  <si>
    <t>Ryan</t>
  </si>
  <si>
    <t>Dominguez</t>
  </si>
  <si>
    <t>Donis-Donis</t>
  </si>
  <si>
    <t>Alfredo</t>
  </si>
  <si>
    <t>H</t>
  </si>
  <si>
    <t>Ford</t>
  </si>
  <si>
    <t>Demaria</t>
  </si>
  <si>
    <t>Hollman</t>
  </si>
  <si>
    <t>Karson</t>
  </si>
  <si>
    <t>Phoenix</t>
  </si>
  <si>
    <t>Amore</t>
  </si>
  <si>
    <t>Ja'Liyah</t>
  </si>
  <si>
    <t>Kirk</t>
  </si>
  <si>
    <t>Zion</t>
  </si>
  <si>
    <t>McClendon Jr.</t>
  </si>
  <si>
    <t>McGee</t>
  </si>
  <si>
    <t>K'Lee</t>
  </si>
  <si>
    <t>Muguluma</t>
  </si>
  <si>
    <t>Jahod</t>
  </si>
  <si>
    <t>Patton</t>
  </si>
  <si>
    <t>Israel</t>
  </si>
  <si>
    <t>Pringle</t>
  </si>
  <si>
    <t>TyAsia</t>
  </si>
  <si>
    <t>Rodriguez</t>
  </si>
  <si>
    <t>Blaire</t>
  </si>
  <si>
    <t>Tilmon</t>
  </si>
  <si>
    <t>King Kyro</t>
  </si>
  <si>
    <t>Washington</t>
  </si>
  <si>
    <t>Khacen</t>
  </si>
  <si>
    <t>Imani</t>
  </si>
  <si>
    <t>Wright Jr.</t>
  </si>
  <si>
    <t>Alex</t>
  </si>
  <si>
    <t>Barnett</t>
  </si>
  <si>
    <t>Genesis</t>
  </si>
  <si>
    <t>Beverly</t>
  </si>
  <si>
    <t>Harmony</t>
  </si>
  <si>
    <t>Kobe</t>
  </si>
  <si>
    <t>Burgess</t>
  </si>
  <si>
    <t>Nicholas</t>
  </si>
  <si>
    <t>Coleman</t>
  </si>
  <si>
    <t>Annabelle</t>
  </si>
  <si>
    <t>Demari</t>
  </si>
  <si>
    <t>Dorsey</t>
  </si>
  <si>
    <t>Cortavious</t>
  </si>
  <si>
    <t xml:space="preserve">Hernandez </t>
  </si>
  <si>
    <t>Viviana</t>
  </si>
  <si>
    <t xml:space="preserve">Herring </t>
  </si>
  <si>
    <t>Elizabeth</t>
  </si>
  <si>
    <t>Hoffman</t>
  </si>
  <si>
    <t>Ashira</t>
  </si>
  <si>
    <t>Morgan</t>
  </si>
  <si>
    <t>Long</t>
  </si>
  <si>
    <t>Asi</t>
  </si>
  <si>
    <t>Ne'Riayah</t>
  </si>
  <si>
    <t>Morris</t>
  </si>
  <si>
    <t>Nellum Jr.</t>
  </si>
  <si>
    <t>Kerry</t>
  </si>
  <si>
    <t xml:space="preserve">Ochoa Jr. </t>
  </si>
  <si>
    <t>David</t>
  </si>
  <si>
    <t>Cayson</t>
  </si>
  <si>
    <t>Ransom</t>
  </si>
  <si>
    <t>Blake</t>
  </si>
  <si>
    <t>Willow</t>
  </si>
  <si>
    <t>Selene</t>
  </si>
  <si>
    <t xml:space="preserve">Williams Jr. </t>
  </si>
  <si>
    <t>Randy</t>
  </si>
  <si>
    <t>03-Third</t>
  </si>
  <si>
    <t>Andrews</t>
  </si>
  <si>
    <t>Cyr</t>
  </si>
  <si>
    <t>La'Rya</t>
  </si>
  <si>
    <t>Birts</t>
  </si>
  <si>
    <t>Maila</t>
  </si>
  <si>
    <t>Ha'layna</t>
  </si>
  <si>
    <t>Michelle</t>
  </si>
  <si>
    <t>Jamari</t>
  </si>
  <si>
    <t>Kori</t>
  </si>
  <si>
    <t>Dyer</t>
  </si>
  <si>
    <t>Edmond</t>
  </si>
  <si>
    <t>Khailen</t>
  </si>
  <si>
    <t>Jaycee</t>
  </si>
  <si>
    <t>Mills</t>
  </si>
  <si>
    <t>Avah M.</t>
  </si>
  <si>
    <t>Minor</t>
  </si>
  <si>
    <t>Amora</t>
  </si>
  <si>
    <t>Elijah M.</t>
  </si>
  <si>
    <t>Ritchey</t>
  </si>
  <si>
    <t>Elijah R.</t>
  </si>
  <si>
    <t>Rosales</t>
  </si>
  <si>
    <t>Sahir</t>
  </si>
  <si>
    <t>Shultz</t>
  </si>
  <si>
    <t>Addilynn</t>
  </si>
  <si>
    <t>Tanner</t>
  </si>
  <si>
    <t>Emmanuel</t>
  </si>
  <si>
    <t>Zaiden</t>
  </si>
  <si>
    <t>Watkins</t>
  </si>
  <si>
    <t>Rayah</t>
  </si>
  <si>
    <t>Royalti</t>
  </si>
  <si>
    <t>Monte</t>
  </si>
  <si>
    <t>Freya</t>
  </si>
  <si>
    <t>Ayva</t>
  </si>
  <si>
    <t>Gibson</t>
  </si>
  <si>
    <t>Clinari</t>
  </si>
  <si>
    <t>Green</t>
  </si>
  <si>
    <t>Shayla</t>
  </si>
  <si>
    <t>Adelyn</t>
  </si>
  <si>
    <t>Nikeya</t>
  </si>
  <si>
    <t>High</t>
  </si>
  <si>
    <t>Kegan</t>
  </si>
  <si>
    <t>Ta'Nyrah</t>
  </si>
  <si>
    <t>Martinez Martinez</t>
  </si>
  <si>
    <t>Camila</t>
  </si>
  <si>
    <t>Native American/Alaskan Native, White</t>
  </si>
  <si>
    <t>Jonell</t>
  </si>
  <si>
    <t>Moore III</t>
  </si>
  <si>
    <t>Rickie</t>
  </si>
  <si>
    <t>Symphonie</t>
  </si>
  <si>
    <t>Jordyn</t>
  </si>
  <si>
    <t>Shelton</t>
  </si>
  <si>
    <t>Grayson</t>
  </si>
  <si>
    <t>Singleton</t>
  </si>
  <si>
    <t>Ma'Kenzie</t>
  </si>
  <si>
    <t>Stuart</t>
  </si>
  <si>
    <t>Rylan</t>
  </si>
  <si>
    <t>Kingston</t>
  </si>
  <si>
    <t>Eleanor</t>
  </si>
  <si>
    <t>Graham</t>
  </si>
  <si>
    <t>Bentley</t>
  </si>
  <si>
    <t>Peyton</t>
  </si>
  <si>
    <t>Hernandez</t>
  </si>
  <si>
    <t>Cristian</t>
  </si>
  <si>
    <t>Awtum</t>
  </si>
  <si>
    <t>Kanaan</t>
  </si>
  <si>
    <t>Chloe</t>
  </si>
  <si>
    <t>Zander</t>
  </si>
  <si>
    <t>Milligan</t>
  </si>
  <si>
    <t>Hunter</t>
  </si>
  <si>
    <t>Legacy</t>
  </si>
  <si>
    <t>Salinas Mata</t>
  </si>
  <si>
    <t>Swinson</t>
  </si>
  <si>
    <t>Kaylee</t>
  </si>
  <si>
    <t>Watson</t>
  </si>
  <si>
    <t>Derrick</t>
  </si>
  <si>
    <t>Mya</t>
  </si>
  <si>
    <t>Rhilynn</t>
  </si>
  <si>
    <t>Teonna</t>
  </si>
  <si>
    <t>Wright</t>
  </si>
  <si>
    <t>Samantha</t>
  </si>
  <si>
    <t>Bacher</t>
  </si>
  <si>
    <t>Anniley</t>
  </si>
  <si>
    <t>Fuller</t>
  </si>
  <si>
    <t>Garden</t>
  </si>
  <si>
    <t>Tylan</t>
  </si>
  <si>
    <t>Gissel</t>
  </si>
  <si>
    <t>Prentiss</t>
  </si>
  <si>
    <t>DeMya</t>
  </si>
  <si>
    <t>Henderson</t>
  </si>
  <si>
    <t>Adriel</t>
  </si>
  <si>
    <t>Jones</t>
  </si>
  <si>
    <t>Myah</t>
  </si>
  <si>
    <t>Lovell</t>
  </si>
  <si>
    <t>Adalynn</t>
  </si>
  <si>
    <t>Ragan</t>
  </si>
  <si>
    <t>Murillo</t>
  </si>
  <si>
    <t>Leonardo</t>
  </si>
  <si>
    <t>Randolph-Fields</t>
  </si>
  <si>
    <t>Jayvion</t>
  </si>
  <si>
    <t>Reaves</t>
  </si>
  <si>
    <t>Ivyaunna</t>
  </si>
  <si>
    <t>Richey</t>
  </si>
  <si>
    <t>Joshua</t>
  </si>
  <si>
    <t>Rodgers</t>
  </si>
  <si>
    <t>Jourdyn</t>
  </si>
  <si>
    <t>Stovall</t>
  </si>
  <si>
    <t>MaKaleigh</t>
  </si>
  <si>
    <t>Thomas</t>
  </si>
  <si>
    <t>Caitlynn</t>
  </si>
  <si>
    <t>Ware</t>
  </si>
  <si>
    <t>Kenslei</t>
  </si>
  <si>
    <t>Bailey</t>
  </si>
  <si>
    <t>05-Fifth</t>
  </si>
  <si>
    <t>Best</t>
  </si>
  <si>
    <t>Dejana</t>
  </si>
  <si>
    <t>Elaina</t>
  </si>
  <si>
    <t>Dednam</t>
  </si>
  <si>
    <t>Marvin</t>
  </si>
  <si>
    <t>Jacoby</t>
  </si>
  <si>
    <t>Desmond</t>
  </si>
  <si>
    <t>Monterrace</t>
  </si>
  <si>
    <t>Norton</t>
  </si>
  <si>
    <t>Aunisty</t>
  </si>
  <si>
    <t>Oglesby Jr.</t>
  </si>
  <si>
    <t>Kendrick</t>
  </si>
  <si>
    <t>Pannel</t>
  </si>
  <si>
    <t>Hudson</t>
  </si>
  <si>
    <t>Patterson</t>
  </si>
  <si>
    <t>Ezekiel</t>
  </si>
  <si>
    <t>Pittman</t>
  </si>
  <si>
    <t>Semaurie</t>
  </si>
  <si>
    <t>MaKaylah</t>
  </si>
  <si>
    <t>Aaron</t>
  </si>
  <si>
    <t>Tullis</t>
  </si>
  <si>
    <t>Thailand</t>
  </si>
  <si>
    <t>Antonio</t>
  </si>
  <si>
    <t>Westbrooks</t>
  </si>
  <si>
    <t>Skylar</t>
  </si>
  <si>
    <t>Ameria</t>
  </si>
  <si>
    <t>Kalani</t>
  </si>
  <si>
    <t>Zamaree</t>
  </si>
  <si>
    <t>Darius</t>
  </si>
  <si>
    <t>Kay'Loni</t>
  </si>
  <si>
    <t>Dobbins Jr.</t>
  </si>
  <si>
    <t>LaBill</t>
  </si>
  <si>
    <t>Gage</t>
  </si>
  <si>
    <t>Royal</t>
  </si>
  <si>
    <t>Gordon</t>
  </si>
  <si>
    <t>LaAva</t>
  </si>
  <si>
    <t>Goss</t>
  </si>
  <si>
    <t>Kyi'leigh</t>
  </si>
  <si>
    <t>Andrew</t>
  </si>
  <si>
    <t>Haynes</t>
  </si>
  <si>
    <t>Fernando</t>
  </si>
  <si>
    <t>Jerleah</t>
  </si>
  <si>
    <t>Mendez-Hernandez</t>
  </si>
  <si>
    <t>Anahis</t>
  </si>
  <si>
    <t>Muldrew</t>
  </si>
  <si>
    <t>Channing</t>
  </si>
  <si>
    <t>Rawdon</t>
  </si>
  <si>
    <t>Dillon</t>
  </si>
  <si>
    <t>Quatavious</t>
  </si>
  <si>
    <t>Callie</t>
  </si>
  <si>
    <t>Corinthian</t>
  </si>
  <si>
    <t>Dale</t>
  </si>
  <si>
    <t xml:space="preserve">Valverde </t>
  </si>
  <si>
    <t>Alexa</t>
  </si>
  <si>
    <t>Verdun</t>
  </si>
  <si>
    <t>Jesse</t>
  </si>
  <si>
    <t>Zeus</t>
  </si>
  <si>
    <t>Major</t>
  </si>
  <si>
    <t>White IV</t>
  </si>
  <si>
    <t>Eddie</t>
  </si>
  <si>
    <t>Trenton</t>
  </si>
  <si>
    <t>04-Fourth</t>
  </si>
  <si>
    <t>Alvarez-Sifuentes</t>
  </si>
  <si>
    <t>Barbara</t>
  </si>
  <si>
    <t>Arrington</t>
  </si>
  <si>
    <t>Banks</t>
  </si>
  <si>
    <t>Deasia</t>
  </si>
  <si>
    <t>Brady</t>
  </si>
  <si>
    <t>Lauren</t>
  </si>
  <si>
    <t>Giavanni</t>
  </si>
  <si>
    <t>Fatima</t>
  </si>
  <si>
    <t>Gonzalez-Martinez</t>
  </si>
  <si>
    <t>Itzel</t>
  </si>
  <si>
    <t>Harper</t>
  </si>
  <si>
    <t>Lyric</t>
  </si>
  <si>
    <t>Hartwig</t>
  </si>
  <si>
    <t>Sebastian</t>
  </si>
  <si>
    <t>Hernandez-Santiago</t>
  </si>
  <si>
    <t>HIll Jr.</t>
  </si>
  <si>
    <t>Kamira</t>
  </si>
  <si>
    <t>Ayden</t>
  </si>
  <si>
    <t>Jeanelle</t>
  </si>
  <si>
    <t>Zoey</t>
  </si>
  <si>
    <t>Minor III</t>
  </si>
  <si>
    <t>George</t>
  </si>
  <si>
    <t>Kylan</t>
  </si>
  <si>
    <t>Jaxx</t>
  </si>
  <si>
    <t>Marshun</t>
  </si>
  <si>
    <t>Rubio-Hernandez</t>
  </si>
  <si>
    <t>Joel</t>
  </si>
  <si>
    <t>Katrice</t>
  </si>
  <si>
    <t>Sessions</t>
  </si>
  <si>
    <t>Jo Elle</t>
  </si>
  <si>
    <t>Simes</t>
  </si>
  <si>
    <t>Nailah</t>
  </si>
  <si>
    <t>West</t>
  </si>
  <si>
    <t>Layla</t>
  </si>
  <si>
    <t>Arias</t>
  </si>
  <si>
    <t>Natalie</t>
  </si>
  <si>
    <t>Boose</t>
  </si>
  <si>
    <t>Jaya</t>
  </si>
  <si>
    <t>Paris</t>
  </si>
  <si>
    <t>Donis</t>
  </si>
  <si>
    <t>Enner</t>
  </si>
  <si>
    <t>Gladney</t>
  </si>
  <si>
    <t>Brycen</t>
  </si>
  <si>
    <t>Green Jr.</t>
  </si>
  <si>
    <t>Demitrius</t>
  </si>
  <si>
    <t>Hollan</t>
  </si>
  <si>
    <t>Brooklyn</t>
  </si>
  <si>
    <t>Emilee</t>
  </si>
  <si>
    <t>Dionysius</t>
  </si>
  <si>
    <t>Ta'Riyah</t>
  </si>
  <si>
    <t>Princeton</t>
  </si>
  <si>
    <t>Odom</t>
  </si>
  <si>
    <t>Perez</t>
  </si>
  <si>
    <t>Zarah</t>
  </si>
  <si>
    <t>Ramirez</t>
  </si>
  <si>
    <t>Jacob</t>
  </si>
  <si>
    <t>Jayceon</t>
  </si>
  <si>
    <t>Rowlett</t>
  </si>
  <si>
    <t>Jayuan</t>
  </si>
  <si>
    <t>Marquis</t>
  </si>
  <si>
    <t xml:space="preserve"> Tillman Jr.</t>
  </si>
  <si>
    <t>Jeffery</t>
  </si>
  <si>
    <t>Kaleb</t>
  </si>
  <si>
    <t>Whittiker III</t>
  </si>
  <si>
    <t>Jeffrey</t>
  </si>
  <si>
    <t>Jaiden</t>
  </si>
  <si>
    <t>APromise</t>
  </si>
  <si>
    <t>Arias-Anaya</t>
  </si>
  <si>
    <t>Native American/Alaskan Native</t>
  </si>
  <si>
    <t>Birts Jr.</t>
  </si>
  <si>
    <t>Burcham</t>
  </si>
  <si>
    <t>Billy</t>
  </si>
  <si>
    <t>Couch</t>
  </si>
  <si>
    <t>Harley</t>
  </si>
  <si>
    <t>Dunlap</t>
  </si>
  <si>
    <t>Tedrick</t>
  </si>
  <si>
    <t>Friday</t>
  </si>
  <si>
    <t>Jahmir</t>
  </si>
  <si>
    <t>Korbin</t>
  </si>
  <si>
    <t>Isbell</t>
  </si>
  <si>
    <t>Madison</t>
  </si>
  <si>
    <t>Lowe</t>
  </si>
  <si>
    <t>O'Nesti</t>
  </si>
  <si>
    <t>referral</t>
  </si>
  <si>
    <t>Dralyn</t>
  </si>
  <si>
    <t>Moreno</t>
  </si>
  <si>
    <t>Rosalia</t>
  </si>
  <si>
    <t>Purifoy</t>
  </si>
  <si>
    <t>Mah'Laya</t>
  </si>
  <si>
    <t>Jacyuna</t>
  </si>
  <si>
    <t>Maleik</t>
  </si>
  <si>
    <t xml:space="preserve">Sampton </t>
  </si>
  <si>
    <t>Donnell</t>
  </si>
  <si>
    <t>Stanhope</t>
  </si>
  <si>
    <t>Aislynn</t>
  </si>
  <si>
    <t>Watson Jr.</t>
  </si>
  <si>
    <t>Decondi</t>
  </si>
  <si>
    <t>Alexander</t>
  </si>
  <si>
    <t>PatriciaRose</t>
  </si>
  <si>
    <t>Avrie</t>
  </si>
  <si>
    <t>Flowers</t>
  </si>
  <si>
    <t>Cai'Cion</t>
  </si>
  <si>
    <t xml:space="preserve">Ramirez </t>
  </si>
  <si>
    <t>Benjamin</t>
  </si>
  <si>
    <t>Reddix</t>
  </si>
  <si>
    <t>Renix Jr.</t>
  </si>
  <si>
    <t>Charleston</t>
  </si>
  <si>
    <t>Caleb</t>
  </si>
  <si>
    <t>01-First</t>
  </si>
  <si>
    <t>Violet</t>
  </si>
  <si>
    <t>Cooper</t>
  </si>
  <si>
    <t>Audrey</t>
  </si>
  <si>
    <t xml:space="preserve">Gray Jr. </t>
  </si>
  <si>
    <t>Darien</t>
  </si>
  <si>
    <t>Overbey</t>
  </si>
  <si>
    <t>Radimus</t>
  </si>
  <si>
    <t>Landon</t>
  </si>
  <si>
    <t>Brindley</t>
  </si>
  <si>
    <t>Bruce</t>
  </si>
  <si>
    <t>Wallin</t>
  </si>
  <si>
    <t>Ivan</t>
  </si>
  <si>
    <t>Clanton</t>
  </si>
  <si>
    <t>Marissa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</si>
</sst>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8.0"/>
      <color rgb="FF454545"/>
      <name val="Arial"/>
    </font>
    <font>
      <b/>
      <sz val="10.0"/>
      <color theme="1"/>
      <name val="Arial"/>
    </font>
    <font>
      <sz val="10.0"/>
      <color rgb="FF454545"/>
      <name val="Arial"/>
    </font>
    <font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E2E2E2"/>
      </left>
      <right style="thin">
        <color rgb="FFE2E2E2"/>
      </right>
      <bottom style="thin">
        <color rgb="FFE2E2E2"/>
      </bottom>
    </border>
    <border>
      <right style="thin">
        <color rgb="FFE2E2E2"/>
      </right>
      <bottom style="thin">
        <color rgb="FFE2E2E2"/>
      </bottom>
    </border>
    <border>
      <left/>
      <right/>
      <top/>
      <bottom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1" fillId="0" fontId="2" numFmtId="0" xfId="0" applyAlignment="1" applyBorder="1" applyFont="1">
      <alignment vertical="top"/>
    </xf>
    <xf borderId="0" fillId="0" fontId="3" numFmtId="0" xfId="0" applyFont="1"/>
    <xf borderId="2" fillId="0" fontId="2" numFmtId="0" xfId="0" applyAlignment="1" applyBorder="1" applyFont="1">
      <alignment vertical="top"/>
    </xf>
    <xf borderId="0" fillId="0" fontId="4" numFmtId="0" xfId="0" applyFont="1"/>
    <xf borderId="3" fillId="2" fontId="5" numFmtId="0" xfId="0" applyBorder="1" applyFill="1" applyFont="1"/>
    <xf borderId="4" fillId="0" fontId="2" numFmtId="0" xfId="0" applyAlignment="1" applyBorder="1" applyFont="1">
      <alignment vertical="top"/>
    </xf>
    <xf borderId="4" fillId="0" fontId="2" numFmtId="0" xfId="0" applyAlignment="1" applyBorder="1" applyFont="1">
      <alignment horizontal="right" vertical="top"/>
    </xf>
    <xf borderId="1" fillId="0" fontId="2" numFmtId="0" xfId="0" applyAlignment="1" applyBorder="1" applyFont="1">
      <alignment horizontal="right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I2" s="1"/>
      <c r="J2" s="1"/>
      <c r="K2" s="1"/>
      <c r="L2" s="1"/>
      <c r="M2" s="1"/>
      <c r="N2" s="1"/>
      <c r="O2" s="1"/>
      <c r="P2" s="1">
        <f t="shared" ref="P2:P31" si="1">COUNTIF(I2:O2, "✔️")</f>
        <v>0</v>
      </c>
      <c r="Q2" s="3">
        <f t="shared" ref="Q2:Q31" si="2">IF(P2=1, 100, IF(P2=2, 200, IF(P2=3, 300, 0)))</f>
        <v>0</v>
      </c>
    </row>
    <row r="3" ht="15.75" customHeight="1">
      <c r="I3" s="1"/>
      <c r="J3" s="1"/>
      <c r="K3" s="1"/>
      <c r="L3" s="1"/>
      <c r="M3" s="1"/>
      <c r="N3" s="1"/>
      <c r="O3" s="1"/>
      <c r="P3" s="1">
        <f t="shared" si="1"/>
        <v>0</v>
      </c>
      <c r="Q3" s="3">
        <f t="shared" si="2"/>
        <v>0</v>
      </c>
    </row>
    <row r="4" ht="15.75" customHeight="1">
      <c r="I4" s="1"/>
      <c r="J4" s="1"/>
      <c r="K4" s="1"/>
      <c r="L4" s="1"/>
      <c r="M4" s="1"/>
      <c r="N4" s="1"/>
      <c r="O4" s="1"/>
      <c r="P4" s="1">
        <f t="shared" si="1"/>
        <v>0</v>
      </c>
      <c r="Q4" s="3">
        <f t="shared" si="2"/>
        <v>0</v>
      </c>
    </row>
    <row r="5" ht="15.75" customHeight="1">
      <c r="I5" s="1"/>
      <c r="J5" s="1"/>
      <c r="K5" s="1"/>
      <c r="L5" s="1"/>
      <c r="M5" s="1"/>
      <c r="N5" s="1"/>
      <c r="O5" s="1"/>
      <c r="P5" s="1">
        <f t="shared" si="1"/>
        <v>0</v>
      </c>
      <c r="Q5" s="3">
        <f t="shared" si="2"/>
        <v>0</v>
      </c>
    </row>
    <row r="6" ht="15.75" customHeight="1">
      <c r="I6" s="1"/>
      <c r="J6" s="1"/>
      <c r="K6" s="1"/>
      <c r="L6" s="1"/>
      <c r="M6" s="1"/>
      <c r="N6" s="1"/>
      <c r="O6" s="1"/>
      <c r="P6" s="1">
        <f t="shared" si="1"/>
        <v>0</v>
      </c>
      <c r="Q6" s="3">
        <f t="shared" si="2"/>
        <v>0</v>
      </c>
    </row>
    <row r="7" ht="15.75" customHeight="1">
      <c r="I7" s="1"/>
      <c r="J7" s="1"/>
      <c r="K7" s="1"/>
      <c r="L7" s="1"/>
      <c r="M7" s="1"/>
      <c r="N7" s="1"/>
      <c r="O7" s="1"/>
      <c r="P7" s="1">
        <f t="shared" si="1"/>
        <v>0</v>
      </c>
      <c r="Q7" s="3">
        <f t="shared" si="2"/>
        <v>0</v>
      </c>
    </row>
    <row r="8" ht="15.75" customHeight="1">
      <c r="I8" s="1"/>
      <c r="J8" s="1"/>
      <c r="K8" s="1"/>
      <c r="L8" s="1"/>
      <c r="M8" s="1"/>
      <c r="N8" s="1"/>
      <c r="O8" s="1"/>
      <c r="P8" s="1">
        <f t="shared" si="1"/>
        <v>0</v>
      </c>
      <c r="Q8" s="3">
        <f t="shared" si="2"/>
        <v>0</v>
      </c>
    </row>
    <row r="9" ht="15.75" customHeight="1">
      <c r="I9" s="1"/>
      <c r="J9" s="1"/>
      <c r="K9" s="1"/>
      <c r="L9" s="1"/>
      <c r="M9" s="1"/>
      <c r="N9" s="1"/>
      <c r="O9" s="1"/>
      <c r="P9" s="1">
        <f t="shared" si="1"/>
        <v>0</v>
      </c>
      <c r="Q9" s="3">
        <f t="shared" si="2"/>
        <v>0</v>
      </c>
    </row>
    <row r="10" ht="15.75" customHeight="1">
      <c r="I10" s="1"/>
      <c r="J10" s="1"/>
      <c r="K10" s="1"/>
      <c r="L10" s="1"/>
      <c r="M10" s="1"/>
      <c r="N10" s="1"/>
      <c r="O10" s="1"/>
      <c r="P10" s="1">
        <f t="shared" si="1"/>
        <v>0</v>
      </c>
      <c r="Q10" s="3">
        <f t="shared" si="2"/>
        <v>0</v>
      </c>
    </row>
    <row r="11" ht="15.75" customHeight="1">
      <c r="I11" s="1"/>
      <c r="J11" s="1"/>
      <c r="K11" s="1"/>
      <c r="L11" s="1"/>
      <c r="M11" s="1"/>
      <c r="N11" s="1"/>
      <c r="O11" s="1"/>
      <c r="P11" s="1">
        <f t="shared" si="1"/>
        <v>0</v>
      </c>
      <c r="Q11" s="3">
        <f t="shared" si="2"/>
        <v>0</v>
      </c>
    </row>
    <row r="12" ht="15.75" customHeight="1">
      <c r="I12" s="1"/>
      <c r="J12" s="1"/>
      <c r="K12" s="1"/>
      <c r="L12" s="1"/>
      <c r="M12" s="1"/>
      <c r="N12" s="1"/>
      <c r="O12" s="1"/>
      <c r="P12" s="1">
        <f t="shared" si="1"/>
        <v>0</v>
      </c>
      <c r="Q12" s="3">
        <f t="shared" si="2"/>
        <v>0</v>
      </c>
    </row>
    <row r="13" ht="15.75" customHeight="1">
      <c r="I13" s="1"/>
      <c r="J13" s="1"/>
      <c r="K13" s="1"/>
      <c r="L13" s="1"/>
      <c r="M13" s="1"/>
      <c r="N13" s="1"/>
      <c r="O13" s="1"/>
      <c r="P13" s="1">
        <f t="shared" si="1"/>
        <v>0</v>
      </c>
      <c r="Q13" s="3">
        <f t="shared" si="2"/>
        <v>0</v>
      </c>
    </row>
    <row r="14" ht="15.75" customHeight="1">
      <c r="I14" s="1"/>
      <c r="J14" s="1"/>
      <c r="K14" s="1"/>
      <c r="L14" s="1"/>
      <c r="M14" s="1"/>
      <c r="N14" s="1"/>
      <c r="O14" s="1"/>
      <c r="P14" s="1">
        <f t="shared" si="1"/>
        <v>0</v>
      </c>
      <c r="Q14" s="3">
        <f t="shared" si="2"/>
        <v>0</v>
      </c>
    </row>
    <row r="15" ht="15.75" customHeight="1">
      <c r="I15" s="1"/>
      <c r="J15" s="1"/>
      <c r="K15" s="1"/>
      <c r="L15" s="1"/>
      <c r="M15" s="1"/>
      <c r="N15" s="1"/>
      <c r="O15" s="1"/>
      <c r="P15" s="1">
        <f t="shared" si="1"/>
        <v>0</v>
      </c>
      <c r="Q15" s="3">
        <f t="shared" si="2"/>
        <v>0</v>
      </c>
    </row>
    <row r="16" ht="15.75" customHeight="1">
      <c r="I16" s="1"/>
      <c r="J16" s="1"/>
      <c r="K16" s="1"/>
      <c r="L16" s="1"/>
      <c r="M16" s="1"/>
      <c r="N16" s="1"/>
      <c r="O16" s="1"/>
      <c r="P16" s="1">
        <f t="shared" si="1"/>
        <v>0</v>
      </c>
      <c r="Q16" s="3">
        <f t="shared" si="2"/>
        <v>0</v>
      </c>
    </row>
    <row r="17" ht="15.75" customHeight="1">
      <c r="I17" s="1"/>
      <c r="J17" s="1"/>
      <c r="K17" s="1"/>
      <c r="L17" s="1"/>
      <c r="M17" s="1"/>
      <c r="N17" s="1"/>
      <c r="O17" s="1"/>
      <c r="P17" s="1">
        <f t="shared" si="1"/>
        <v>0</v>
      </c>
      <c r="Q17" s="3">
        <f t="shared" si="2"/>
        <v>0</v>
      </c>
    </row>
    <row r="18" ht="15.75" customHeight="1">
      <c r="I18" s="1"/>
      <c r="J18" s="1"/>
      <c r="K18" s="1"/>
      <c r="L18" s="1"/>
      <c r="M18" s="1"/>
      <c r="N18" s="1"/>
      <c r="O18" s="1"/>
      <c r="P18" s="1">
        <f t="shared" si="1"/>
        <v>0</v>
      </c>
      <c r="Q18" s="3">
        <f t="shared" si="2"/>
        <v>0</v>
      </c>
    </row>
    <row r="19" ht="15.75" customHeight="1">
      <c r="I19" s="1"/>
      <c r="J19" s="1"/>
      <c r="K19" s="1"/>
      <c r="L19" s="1"/>
      <c r="M19" s="1"/>
      <c r="N19" s="1"/>
      <c r="O19" s="1"/>
      <c r="P19" s="1">
        <f t="shared" si="1"/>
        <v>0</v>
      </c>
      <c r="Q19" s="3">
        <f t="shared" si="2"/>
        <v>0</v>
      </c>
    </row>
    <row r="20" ht="15.75" customHeight="1">
      <c r="I20" s="1"/>
      <c r="J20" s="1"/>
      <c r="K20" s="1"/>
      <c r="L20" s="1"/>
      <c r="M20" s="1"/>
      <c r="N20" s="1"/>
      <c r="O20" s="1"/>
      <c r="P20" s="1">
        <f t="shared" si="1"/>
        <v>0</v>
      </c>
      <c r="Q20" s="3">
        <f t="shared" si="2"/>
        <v>0</v>
      </c>
    </row>
    <row r="21" ht="15.75" customHeight="1">
      <c r="I21" s="1"/>
      <c r="J21" s="1"/>
      <c r="K21" s="1"/>
      <c r="L21" s="1"/>
      <c r="M21" s="1"/>
      <c r="N21" s="1"/>
      <c r="O21" s="1"/>
      <c r="P21" s="1">
        <f t="shared" si="1"/>
        <v>0</v>
      </c>
      <c r="Q21" s="3">
        <f t="shared" si="2"/>
        <v>0</v>
      </c>
    </row>
    <row r="22" ht="15.75" customHeight="1">
      <c r="I22" s="1"/>
      <c r="J22" s="1"/>
      <c r="K22" s="1"/>
      <c r="L22" s="1"/>
      <c r="M22" s="1"/>
      <c r="N22" s="1"/>
      <c r="O22" s="1"/>
      <c r="P22" s="1">
        <f t="shared" si="1"/>
        <v>0</v>
      </c>
      <c r="Q22" s="3">
        <f t="shared" si="2"/>
        <v>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1"/>
        <v>0</v>
      </c>
      <c r="Q23" s="3">
        <f t="shared" si="2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1"/>
        <v>0</v>
      </c>
      <c r="Q24" s="3">
        <f t="shared" si="2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1"/>
        <v>0</v>
      </c>
      <c r="Q25" s="3">
        <f t="shared" si="2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1"/>
        <v>0</v>
      </c>
      <c r="Q26" s="3">
        <f t="shared" si="2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1"/>
        <v>0</v>
      </c>
      <c r="Q27" s="3">
        <f t="shared" si="2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1"/>
        <v>0</v>
      </c>
      <c r="Q28" s="3">
        <f t="shared" si="2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1"/>
        <v>0</v>
      </c>
      <c r="Q29" s="3">
        <f t="shared" si="2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1"/>
        <v>0</v>
      </c>
      <c r="Q30" s="3">
        <f t="shared" si="2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1"/>
        <v>0</v>
      </c>
      <c r="Q31" s="3">
        <f t="shared" si="2"/>
        <v>0</v>
      </c>
    </row>
    <row r="32" ht="15.75" customHeight="1">
      <c r="I32" s="1">
        <f t="shared" ref="I32:K32" si="3">COUNTIF(I2:I31, "✔️")</f>
        <v>0</v>
      </c>
      <c r="J32" s="1">
        <f t="shared" si="3"/>
        <v>0</v>
      </c>
      <c r="K32" s="1">
        <f t="shared" si="3"/>
        <v>0</v>
      </c>
      <c r="L32" s="1"/>
      <c r="M32" s="1">
        <f>COUNTIF(M2:M31, "✔️")</f>
        <v>0</v>
      </c>
      <c r="N32" s="1"/>
      <c r="O32" s="1">
        <f>COUNTIF(O2:O31, "✔️")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7.63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17</v>
      </c>
      <c r="B2" s="1">
        <v>6.00412771E8</v>
      </c>
      <c r="C2" s="1" t="s">
        <v>18</v>
      </c>
      <c r="D2" s="1" t="s">
        <v>19</v>
      </c>
      <c r="E2" s="1">
        <v>6.0</v>
      </c>
      <c r="F2" s="1" t="s">
        <v>20</v>
      </c>
      <c r="G2" s="1" t="s">
        <v>21</v>
      </c>
      <c r="I2" s="1" t="s">
        <v>22</v>
      </c>
      <c r="J2" s="1"/>
      <c r="K2" s="1" t="s">
        <v>23</v>
      </c>
      <c r="L2" s="1">
        <v>1.0</v>
      </c>
      <c r="M2" s="1" t="s">
        <v>22</v>
      </c>
      <c r="N2" s="1">
        <v>8.0</v>
      </c>
      <c r="O2" s="1" t="s">
        <v>23</v>
      </c>
      <c r="P2" s="1">
        <f>COUNTIF(I2:O2, "✔️")</f>
        <v>2</v>
      </c>
      <c r="Q2" s="3">
        <f>IF(P2=1, 100, IF(P2=2, 200, IF(P2=3, 300, 0)))</f>
        <v>200</v>
      </c>
    </row>
    <row r="3" ht="15.75" customHeight="1">
      <c r="A3" s="1" t="s">
        <v>17</v>
      </c>
      <c r="B3" s="1">
        <v>6.00409876E8</v>
      </c>
      <c r="C3" s="1" t="s">
        <v>24</v>
      </c>
      <c r="D3" s="1" t="s">
        <v>25</v>
      </c>
      <c r="E3" s="1">
        <v>5.0</v>
      </c>
      <c r="F3" s="1" t="s">
        <v>20</v>
      </c>
      <c r="G3" s="1" t="s">
        <v>21</v>
      </c>
      <c r="H3" s="1" t="s">
        <v>26</v>
      </c>
      <c r="I3" s="1" t="s">
        <v>22</v>
      </c>
      <c r="J3" s="1"/>
      <c r="K3" s="1" t="s">
        <v>22</v>
      </c>
      <c r="L3" s="1">
        <v>0.0</v>
      </c>
      <c r="M3" s="1" t="s">
        <v>22</v>
      </c>
      <c r="N3" s="1">
        <v>4.0</v>
      </c>
      <c r="O3" s="1" t="s">
        <v>23</v>
      </c>
      <c r="P3" s="1">
        <v>3.0</v>
      </c>
      <c r="Q3" s="3">
        <v>300.0</v>
      </c>
    </row>
    <row r="4" ht="15.75" customHeight="1">
      <c r="A4" s="1" t="s">
        <v>17</v>
      </c>
      <c r="B4" s="1">
        <v>6.00409879E8</v>
      </c>
      <c r="C4" s="1" t="s">
        <v>27</v>
      </c>
      <c r="D4" s="1" t="s">
        <v>28</v>
      </c>
      <c r="E4" s="1">
        <v>6.0</v>
      </c>
      <c r="F4" s="1" t="s">
        <v>20</v>
      </c>
      <c r="G4" s="1" t="s">
        <v>21</v>
      </c>
      <c r="I4" s="1" t="s">
        <v>22</v>
      </c>
      <c r="J4" s="1"/>
      <c r="K4" s="1" t="s">
        <v>22</v>
      </c>
      <c r="L4" s="1">
        <v>0.0</v>
      </c>
      <c r="M4" s="1" t="s">
        <v>22</v>
      </c>
      <c r="N4" s="1">
        <v>7.0</v>
      </c>
      <c r="O4" s="1" t="s">
        <v>23</v>
      </c>
      <c r="P4" s="1">
        <f t="shared" ref="P4:P5" si="1">COUNTIF(I4:O4, "✔️")</f>
        <v>3</v>
      </c>
      <c r="Q4" s="3">
        <f t="shared" ref="Q4:Q5" si="2">IF(P4=1, 100, IF(P4=2, 200, IF(P4=3, 300, 0)))</f>
        <v>300</v>
      </c>
    </row>
    <row r="5" ht="15.75" customHeight="1">
      <c r="A5" s="1" t="s">
        <v>17</v>
      </c>
      <c r="B5" s="4">
        <v>6.00411864E8</v>
      </c>
      <c r="C5" s="1" t="s">
        <v>29</v>
      </c>
      <c r="D5" s="1" t="s">
        <v>30</v>
      </c>
      <c r="E5" s="1">
        <v>5.0</v>
      </c>
      <c r="F5" s="5" t="s">
        <v>20</v>
      </c>
      <c r="G5" s="6" t="s">
        <v>21</v>
      </c>
      <c r="I5" s="1" t="s">
        <v>23</v>
      </c>
      <c r="J5" s="1"/>
      <c r="K5" s="1" t="s">
        <v>22</v>
      </c>
      <c r="L5" s="1">
        <v>0.0</v>
      </c>
      <c r="M5" s="1" t="s">
        <v>22</v>
      </c>
      <c r="N5" s="1">
        <v>8.0</v>
      </c>
      <c r="O5" s="1" t="s">
        <v>23</v>
      </c>
      <c r="P5" s="1">
        <f t="shared" si="1"/>
        <v>2</v>
      </c>
      <c r="Q5" s="3">
        <f t="shared" si="2"/>
        <v>200</v>
      </c>
    </row>
    <row r="6" ht="15.75" customHeight="1">
      <c r="A6" s="1" t="s">
        <v>17</v>
      </c>
      <c r="B6" s="4">
        <v>6.00411633E8</v>
      </c>
      <c r="C6" s="1" t="s">
        <v>31</v>
      </c>
      <c r="D6" s="1" t="s">
        <v>32</v>
      </c>
      <c r="E6" s="1">
        <v>5.0</v>
      </c>
      <c r="F6" s="1" t="s">
        <v>20</v>
      </c>
      <c r="G6" s="6" t="s">
        <v>33</v>
      </c>
      <c r="I6" s="1" t="s">
        <v>22</v>
      </c>
      <c r="J6" s="1"/>
      <c r="K6" s="1" t="s">
        <v>23</v>
      </c>
      <c r="L6" s="1">
        <v>4.0</v>
      </c>
      <c r="M6" s="1" t="s">
        <v>23</v>
      </c>
      <c r="N6" s="1"/>
      <c r="O6" s="1"/>
      <c r="P6" s="1">
        <v>1.0</v>
      </c>
      <c r="Q6" s="3">
        <v>100.0</v>
      </c>
    </row>
    <row r="7" ht="15.75" customHeight="1">
      <c r="A7" s="1" t="s">
        <v>17</v>
      </c>
      <c r="B7" s="4">
        <v>6.00412351E8</v>
      </c>
      <c r="C7" s="1" t="s">
        <v>34</v>
      </c>
      <c r="D7" s="1" t="s">
        <v>35</v>
      </c>
      <c r="E7" s="1">
        <v>5.0</v>
      </c>
      <c r="F7" s="1" t="s">
        <v>20</v>
      </c>
      <c r="G7" s="6" t="s">
        <v>33</v>
      </c>
      <c r="I7" s="1" t="s">
        <v>22</v>
      </c>
      <c r="J7" s="1"/>
      <c r="K7" s="1" t="s">
        <v>22</v>
      </c>
      <c r="L7" s="1">
        <v>0.0</v>
      </c>
      <c r="M7" s="1" t="s">
        <v>22</v>
      </c>
      <c r="N7" s="1"/>
      <c r="O7" s="1"/>
      <c r="P7" s="1">
        <v>3.0</v>
      </c>
      <c r="Q7" s="3">
        <v>300.0</v>
      </c>
    </row>
    <row r="8" ht="15.75" customHeight="1">
      <c r="A8" s="1" t="s">
        <v>17</v>
      </c>
      <c r="B8" s="4">
        <v>6.00409885E8</v>
      </c>
      <c r="C8" s="1" t="s">
        <v>36</v>
      </c>
      <c r="D8" s="1" t="s">
        <v>37</v>
      </c>
      <c r="E8" s="1">
        <v>5.0</v>
      </c>
      <c r="F8" s="5" t="s">
        <v>20</v>
      </c>
      <c r="G8" s="6" t="s">
        <v>21</v>
      </c>
      <c r="I8" s="1" t="s">
        <v>22</v>
      </c>
      <c r="J8" s="1"/>
      <c r="K8" s="1" t="s">
        <v>22</v>
      </c>
      <c r="L8" s="1">
        <v>0.0</v>
      </c>
      <c r="M8" s="1" t="s">
        <v>22</v>
      </c>
      <c r="N8" s="1">
        <v>10.0</v>
      </c>
      <c r="O8" s="1" t="s">
        <v>23</v>
      </c>
      <c r="P8" s="1">
        <f>COUNTIF(I8:O8, "✔️")</f>
        <v>3</v>
      </c>
      <c r="Q8" s="3">
        <f>IF(P8=1, 100, IF(P8=2, 200, IF(P8=3, 300, 0)))</f>
        <v>300</v>
      </c>
    </row>
    <row r="9" ht="15.75" customHeight="1">
      <c r="A9" s="1" t="s">
        <v>17</v>
      </c>
      <c r="B9" s="4">
        <v>6.00410043E8</v>
      </c>
      <c r="C9" s="1" t="s">
        <v>38</v>
      </c>
      <c r="D9" s="1" t="s">
        <v>39</v>
      </c>
      <c r="E9" s="1">
        <v>5.0</v>
      </c>
      <c r="F9" s="1" t="s">
        <v>20</v>
      </c>
      <c r="G9" s="6" t="s">
        <v>33</v>
      </c>
      <c r="I9" s="1" t="s">
        <v>22</v>
      </c>
      <c r="J9" s="1"/>
      <c r="K9" s="1" t="s">
        <v>22</v>
      </c>
      <c r="L9" s="1">
        <v>0.0</v>
      </c>
      <c r="M9" s="1" t="s">
        <v>22</v>
      </c>
      <c r="N9" s="1">
        <v>1.0</v>
      </c>
      <c r="O9" s="1" t="s">
        <v>22</v>
      </c>
      <c r="P9" s="1">
        <v>3.0</v>
      </c>
      <c r="Q9" s="3">
        <v>300.0</v>
      </c>
    </row>
    <row r="10" ht="15.75" customHeight="1">
      <c r="A10" s="1" t="s">
        <v>17</v>
      </c>
      <c r="B10" s="4">
        <v>6.00410183E8</v>
      </c>
      <c r="C10" s="1" t="s">
        <v>40</v>
      </c>
      <c r="D10" s="1" t="s">
        <v>41</v>
      </c>
      <c r="E10" s="1">
        <v>5.0</v>
      </c>
      <c r="F10" s="1" t="s">
        <v>42</v>
      </c>
      <c r="G10" s="6" t="s">
        <v>33</v>
      </c>
      <c r="I10" s="1" t="s">
        <v>22</v>
      </c>
      <c r="J10" s="1"/>
      <c r="K10" s="1" t="s">
        <v>23</v>
      </c>
      <c r="L10" s="1">
        <v>3.0</v>
      </c>
      <c r="M10" s="1" t="s">
        <v>23</v>
      </c>
      <c r="N10" s="1">
        <v>3.0</v>
      </c>
      <c r="O10" s="1" t="s">
        <v>22</v>
      </c>
      <c r="P10" s="1">
        <f>COUNTIF(I10:O10, "✔️")</f>
        <v>2</v>
      </c>
      <c r="Q10" s="3">
        <f>IF(P10=1, 100, IF(P10=2, 200, IF(P10=3, 300, 0)))</f>
        <v>200</v>
      </c>
    </row>
    <row r="11" ht="15.75" customHeight="1">
      <c r="A11" s="1" t="s">
        <v>17</v>
      </c>
      <c r="B11" s="4">
        <v>6.00412835E8</v>
      </c>
      <c r="C11" s="1" t="s">
        <v>43</v>
      </c>
      <c r="D11" s="1" t="s">
        <v>44</v>
      </c>
      <c r="E11" s="1">
        <v>5.0</v>
      </c>
      <c r="F11" s="1" t="s">
        <v>20</v>
      </c>
      <c r="G11" s="6" t="s">
        <v>33</v>
      </c>
      <c r="I11" s="1" t="s">
        <v>22</v>
      </c>
      <c r="J11" s="1"/>
      <c r="K11" s="1" t="s">
        <v>23</v>
      </c>
      <c r="L11" s="1">
        <v>0.0</v>
      </c>
      <c r="M11" s="1" t="s">
        <v>22</v>
      </c>
      <c r="N11" s="1"/>
      <c r="O11" s="1"/>
      <c r="P11" s="1">
        <v>2.0</v>
      </c>
      <c r="Q11" s="3">
        <v>200.0</v>
      </c>
    </row>
    <row r="12" ht="15.75" customHeight="1">
      <c r="A12" s="1" t="s">
        <v>17</v>
      </c>
      <c r="B12" s="4">
        <v>6.00412494E8</v>
      </c>
      <c r="C12" s="1" t="s">
        <v>45</v>
      </c>
      <c r="D12" s="1" t="s">
        <v>46</v>
      </c>
      <c r="E12" s="1">
        <v>5.0</v>
      </c>
      <c r="F12" s="1" t="s">
        <v>20</v>
      </c>
      <c r="G12" s="6" t="s">
        <v>21</v>
      </c>
      <c r="I12" s="1" t="s">
        <v>22</v>
      </c>
      <c r="J12" s="1"/>
      <c r="K12" s="1" t="s">
        <v>22</v>
      </c>
      <c r="L12" s="1">
        <v>0.0</v>
      </c>
      <c r="M12" s="1" t="s">
        <v>22</v>
      </c>
      <c r="N12" s="1">
        <v>4.0</v>
      </c>
      <c r="O12" s="1" t="s">
        <v>23</v>
      </c>
      <c r="P12" s="1">
        <f t="shared" ref="P12:P13" si="3">COUNTIF(I12:O12, "✔️")</f>
        <v>3</v>
      </c>
      <c r="Q12" s="3">
        <f t="shared" ref="Q12:Q13" si="4">IF(P12=1, 100, IF(P12=2, 200, IF(P12=3, 300, 0)))</f>
        <v>300</v>
      </c>
    </row>
    <row r="13" ht="15.75" customHeight="1">
      <c r="A13" s="1" t="s">
        <v>17</v>
      </c>
      <c r="B13" s="4">
        <v>6.0040989E8</v>
      </c>
      <c r="C13" s="1" t="s">
        <v>47</v>
      </c>
      <c r="D13" s="1" t="s">
        <v>48</v>
      </c>
      <c r="E13" s="1">
        <v>5.0</v>
      </c>
      <c r="F13" s="1" t="s">
        <v>20</v>
      </c>
      <c r="G13" s="6" t="s">
        <v>21</v>
      </c>
      <c r="I13" s="1" t="s">
        <v>22</v>
      </c>
      <c r="J13" s="1"/>
      <c r="K13" s="1" t="s">
        <v>22</v>
      </c>
      <c r="L13" s="1">
        <v>0.0</v>
      </c>
      <c r="M13" s="1" t="s">
        <v>22</v>
      </c>
      <c r="N13" s="1">
        <v>6.0</v>
      </c>
      <c r="O13" s="1" t="s">
        <v>23</v>
      </c>
      <c r="P13" s="1">
        <f t="shared" si="3"/>
        <v>3</v>
      </c>
      <c r="Q13" s="3">
        <f t="shared" si="4"/>
        <v>300</v>
      </c>
    </row>
    <row r="14" ht="15.75" customHeight="1">
      <c r="A14" s="1" t="s">
        <v>17</v>
      </c>
      <c r="B14" s="4">
        <v>6.00412749E8</v>
      </c>
      <c r="C14" s="1" t="s">
        <v>49</v>
      </c>
      <c r="D14" s="1" t="s">
        <v>50</v>
      </c>
      <c r="E14" s="1">
        <v>5.0</v>
      </c>
      <c r="F14" s="1" t="s">
        <v>20</v>
      </c>
      <c r="G14" s="6" t="s">
        <v>21</v>
      </c>
      <c r="I14" s="1" t="s">
        <v>22</v>
      </c>
      <c r="J14" s="1"/>
      <c r="K14" s="1" t="s">
        <v>22</v>
      </c>
      <c r="L14" s="1">
        <v>2.0</v>
      </c>
      <c r="M14" s="1" t="s">
        <v>23</v>
      </c>
      <c r="N14" s="1"/>
      <c r="O14" s="1"/>
      <c r="P14" s="1">
        <v>2.0</v>
      </c>
      <c r="Q14" s="3">
        <v>200.0</v>
      </c>
    </row>
    <row r="15" ht="15.75" customHeight="1">
      <c r="A15" s="1" t="s">
        <v>17</v>
      </c>
      <c r="B15" s="4">
        <v>6.00411044E8</v>
      </c>
      <c r="C15" s="1" t="s">
        <v>51</v>
      </c>
      <c r="D15" s="1" t="s">
        <v>52</v>
      </c>
      <c r="E15" s="1">
        <v>6.0</v>
      </c>
      <c r="F15" s="1" t="s">
        <v>20</v>
      </c>
      <c r="G15" s="6" t="s">
        <v>33</v>
      </c>
      <c r="I15" s="1" t="s">
        <v>22</v>
      </c>
      <c r="J15" s="1"/>
      <c r="K15" s="1" t="s">
        <v>22</v>
      </c>
      <c r="L15" s="1">
        <v>0.0</v>
      </c>
      <c r="M15" s="1" t="s">
        <v>22</v>
      </c>
      <c r="N15" s="1">
        <v>7.0</v>
      </c>
      <c r="O15" s="1" t="s">
        <v>23</v>
      </c>
      <c r="P15" s="1">
        <f>COUNTIF(I15:O15, "✔️")</f>
        <v>3</v>
      </c>
      <c r="Q15" s="3">
        <f>IF(P15=1, 100, IF(P15=2, 200, IF(P15=3, 300, 0)))</f>
        <v>300</v>
      </c>
    </row>
    <row r="16" ht="15.75" customHeight="1">
      <c r="A16" s="1" t="s">
        <v>17</v>
      </c>
      <c r="B16" s="4">
        <v>6.00410168E8</v>
      </c>
      <c r="C16" s="1" t="s">
        <v>53</v>
      </c>
      <c r="D16" s="1" t="s">
        <v>54</v>
      </c>
      <c r="E16" s="1">
        <v>6.0</v>
      </c>
      <c r="F16" s="1" t="s">
        <v>55</v>
      </c>
      <c r="G16" s="6" t="s">
        <v>21</v>
      </c>
      <c r="I16" s="1" t="s">
        <v>22</v>
      </c>
      <c r="J16" s="1"/>
      <c r="K16" s="1" t="s">
        <v>22</v>
      </c>
      <c r="L16" s="1">
        <v>0.0</v>
      </c>
      <c r="M16" s="1" t="s">
        <v>22</v>
      </c>
      <c r="N16" s="1">
        <v>1.0</v>
      </c>
      <c r="O16" s="1" t="s">
        <v>22</v>
      </c>
      <c r="P16" s="1">
        <v>3.0</v>
      </c>
      <c r="Q16" s="3">
        <v>300.0</v>
      </c>
    </row>
    <row r="17" ht="15.75" customHeight="1">
      <c r="A17" s="1" t="s">
        <v>17</v>
      </c>
      <c r="B17" s="4">
        <v>6.00412684E8</v>
      </c>
      <c r="C17" s="1" t="s">
        <v>56</v>
      </c>
      <c r="D17" s="1" t="s">
        <v>57</v>
      </c>
      <c r="E17" s="1">
        <v>6.0</v>
      </c>
      <c r="F17" s="1" t="s">
        <v>55</v>
      </c>
      <c r="G17" s="6" t="s">
        <v>33</v>
      </c>
      <c r="I17" s="1" t="s">
        <v>22</v>
      </c>
      <c r="J17" s="1"/>
      <c r="K17" s="1" t="s">
        <v>23</v>
      </c>
      <c r="L17" s="1">
        <v>3.0</v>
      </c>
      <c r="M17" s="1" t="s">
        <v>23</v>
      </c>
      <c r="N17" s="1">
        <v>3.0</v>
      </c>
      <c r="O17" s="1" t="s">
        <v>22</v>
      </c>
      <c r="P17" s="1">
        <f>COUNTIF(I17:O17, "✔️")</f>
        <v>2</v>
      </c>
      <c r="Q17" s="3">
        <f t="shared" ref="Q17:Q36" si="5">IF(P17=1, 100, IF(P17=2, 200, IF(P17=3, 300, 0)))</f>
        <v>200</v>
      </c>
    </row>
    <row r="18" ht="15.75" customHeight="1">
      <c r="A18" s="1" t="s">
        <v>17</v>
      </c>
      <c r="B18" s="4">
        <v>6.00412366E8</v>
      </c>
      <c r="C18" s="1" t="s">
        <v>58</v>
      </c>
      <c r="D18" s="1" t="s">
        <v>59</v>
      </c>
      <c r="E18" s="1">
        <v>6.0</v>
      </c>
      <c r="F18" s="1" t="s">
        <v>20</v>
      </c>
      <c r="G18" s="6" t="s">
        <v>33</v>
      </c>
      <c r="I18" s="1" t="s">
        <v>22</v>
      </c>
      <c r="J18" s="1"/>
      <c r="K18" s="1" t="s">
        <v>22</v>
      </c>
      <c r="L18" s="1">
        <v>0.0</v>
      </c>
      <c r="M18" s="1" t="s">
        <v>22</v>
      </c>
      <c r="N18" s="1">
        <v>0.0</v>
      </c>
      <c r="O18" s="1" t="s">
        <v>22</v>
      </c>
      <c r="P18" s="1">
        <v>3.0</v>
      </c>
      <c r="Q18" s="3">
        <f t="shared" si="5"/>
        <v>300</v>
      </c>
    </row>
    <row r="19" ht="15.75" customHeight="1">
      <c r="A19" s="1" t="s">
        <v>17</v>
      </c>
      <c r="B19" s="4">
        <v>6.00412367E8</v>
      </c>
      <c r="C19" s="1" t="s">
        <v>60</v>
      </c>
      <c r="D19" s="1" t="s">
        <v>61</v>
      </c>
      <c r="E19" s="1">
        <v>5.0</v>
      </c>
      <c r="F19" s="1" t="s">
        <v>20</v>
      </c>
      <c r="G19" s="6" t="s">
        <v>33</v>
      </c>
      <c r="I19" s="1" t="s">
        <v>22</v>
      </c>
      <c r="J19" s="1"/>
      <c r="K19" s="1" t="s">
        <v>22</v>
      </c>
      <c r="L19" s="1">
        <v>0.0</v>
      </c>
      <c r="M19" s="1" t="s">
        <v>22</v>
      </c>
      <c r="N19" s="1">
        <v>11.0</v>
      </c>
      <c r="O19" s="1" t="s">
        <v>23</v>
      </c>
      <c r="P19" s="1">
        <v>3.0</v>
      </c>
      <c r="Q19" s="3">
        <f t="shared" si="5"/>
        <v>300</v>
      </c>
    </row>
    <row r="20" ht="15.75" customHeight="1">
      <c r="A20" s="1" t="s">
        <v>17</v>
      </c>
      <c r="B20" s="4">
        <v>6.00410403E8</v>
      </c>
      <c r="C20" s="1" t="s">
        <v>62</v>
      </c>
      <c r="D20" s="1" t="s">
        <v>63</v>
      </c>
      <c r="E20" s="1">
        <v>5.0</v>
      </c>
      <c r="F20" s="1" t="s">
        <v>20</v>
      </c>
      <c r="G20" s="6" t="s">
        <v>33</v>
      </c>
      <c r="I20" s="1" t="s">
        <v>22</v>
      </c>
      <c r="J20" s="1"/>
      <c r="K20" s="1" t="s">
        <v>22</v>
      </c>
      <c r="L20" s="1">
        <v>0.0</v>
      </c>
      <c r="M20" s="1" t="s">
        <v>22</v>
      </c>
      <c r="N20" s="1">
        <v>6.0</v>
      </c>
      <c r="O20" s="1" t="s">
        <v>23</v>
      </c>
      <c r="P20" s="1">
        <v>3.0</v>
      </c>
      <c r="Q20" s="3">
        <f t="shared" si="5"/>
        <v>300</v>
      </c>
    </row>
    <row r="21" ht="15.75" customHeight="1">
      <c r="A21" s="1" t="s">
        <v>17</v>
      </c>
      <c r="B21" s="1"/>
      <c r="I21" s="1"/>
      <c r="J21" s="1"/>
      <c r="K21" s="1"/>
      <c r="L21" s="1"/>
      <c r="M21" s="1"/>
      <c r="N21" s="1"/>
      <c r="O21" s="1"/>
      <c r="P21" s="1"/>
      <c r="Q21" s="3">
        <f t="shared" si="5"/>
        <v>0</v>
      </c>
    </row>
    <row r="22" ht="15.75" customHeight="1">
      <c r="A22" s="1" t="s">
        <v>17</v>
      </c>
      <c r="I22" s="1"/>
      <c r="J22" s="1"/>
      <c r="K22" s="1"/>
      <c r="L22" s="1"/>
      <c r="M22" s="1"/>
      <c r="N22" s="1"/>
      <c r="O22" s="1"/>
      <c r="P22" s="1">
        <f t="shared" ref="P22:P36" si="6">COUNTIF(I22:O22, "✔️")</f>
        <v>0</v>
      </c>
      <c r="Q22" s="3">
        <f t="shared" si="5"/>
        <v>0</v>
      </c>
    </row>
    <row r="23" ht="15.75" customHeight="1">
      <c r="A23" s="1" t="s">
        <v>17</v>
      </c>
      <c r="I23" s="1"/>
      <c r="J23" s="1"/>
      <c r="K23" s="1"/>
      <c r="L23" s="1"/>
      <c r="M23" s="1"/>
      <c r="N23" s="1"/>
      <c r="O23" s="1"/>
      <c r="P23" s="1">
        <f t="shared" si="6"/>
        <v>0</v>
      </c>
      <c r="Q23" s="3">
        <f t="shared" si="5"/>
        <v>0</v>
      </c>
    </row>
    <row r="24" ht="15.75" customHeight="1">
      <c r="A24" s="1" t="s">
        <v>17</v>
      </c>
      <c r="I24" s="1"/>
      <c r="J24" s="1"/>
      <c r="K24" s="1"/>
      <c r="L24" s="1"/>
      <c r="M24" s="1"/>
      <c r="N24" s="1"/>
      <c r="O24" s="1"/>
      <c r="P24" s="1">
        <f t="shared" si="6"/>
        <v>0</v>
      </c>
      <c r="Q24" s="3">
        <f t="shared" si="5"/>
        <v>0</v>
      </c>
    </row>
    <row r="25" ht="15.75" customHeight="1">
      <c r="A25" s="1" t="s">
        <v>17</v>
      </c>
      <c r="I25" s="1"/>
      <c r="J25" s="1"/>
      <c r="K25" s="1"/>
      <c r="L25" s="1"/>
      <c r="M25" s="1"/>
      <c r="N25" s="1"/>
      <c r="O25" s="1"/>
      <c r="P25" s="1">
        <f t="shared" si="6"/>
        <v>0</v>
      </c>
      <c r="Q25" s="3">
        <f t="shared" si="5"/>
        <v>0</v>
      </c>
    </row>
    <row r="26" ht="15.75" customHeight="1">
      <c r="A26" s="1" t="s">
        <v>17</v>
      </c>
      <c r="I26" s="1"/>
      <c r="J26" s="1"/>
      <c r="K26" s="1"/>
      <c r="L26" s="1"/>
      <c r="M26" s="1"/>
      <c r="N26" s="1"/>
      <c r="O26" s="1"/>
      <c r="P26" s="1">
        <f t="shared" si="6"/>
        <v>0</v>
      </c>
      <c r="Q26" s="3">
        <f t="shared" si="5"/>
        <v>0</v>
      </c>
    </row>
    <row r="27" ht="15.75" customHeight="1">
      <c r="A27" s="1" t="s">
        <v>17</v>
      </c>
      <c r="I27" s="1"/>
      <c r="J27" s="1"/>
      <c r="K27" s="1"/>
      <c r="L27" s="1"/>
      <c r="M27" s="1"/>
      <c r="N27" s="1"/>
      <c r="O27" s="1"/>
      <c r="P27" s="1">
        <f t="shared" si="6"/>
        <v>0</v>
      </c>
      <c r="Q27" s="3">
        <f t="shared" si="5"/>
        <v>0</v>
      </c>
    </row>
    <row r="28" ht="15.75" customHeight="1">
      <c r="A28" s="1" t="s">
        <v>17</v>
      </c>
      <c r="I28" s="1"/>
      <c r="J28" s="1"/>
      <c r="K28" s="1"/>
      <c r="L28" s="1"/>
      <c r="M28" s="1"/>
      <c r="N28" s="1"/>
      <c r="O28" s="1"/>
      <c r="P28" s="1">
        <f t="shared" si="6"/>
        <v>0</v>
      </c>
      <c r="Q28" s="3">
        <f t="shared" si="5"/>
        <v>0</v>
      </c>
    </row>
    <row r="29" ht="15.75" customHeight="1">
      <c r="A29" s="1" t="s">
        <v>17</v>
      </c>
      <c r="I29" s="1"/>
      <c r="J29" s="1"/>
      <c r="K29" s="1"/>
      <c r="L29" s="1"/>
      <c r="M29" s="1"/>
      <c r="N29" s="1"/>
      <c r="O29" s="1"/>
      <c r="P29" s="1">
        <f t="shared" si="6"/>
        <v>0</v>
      </c>
      <c r="Q29" s="3">
        <f t="shared" si="5"/>
        <v>0</v>
      </c>
    </row>
    <row r="30" ht="15.75" customHeight="1">
      <c r="A30" s="1" t="s">
        <v>17</v>
      </c>
      <c r="I30" s="1"/>
      <c r="J30" s="1"/>
      <c r="K30" s="1"/>
      <c r="L30" s="1"/>
      <c r="M30" s="1"/>
      <c r="N30" s="1"/>
      <c r="O30" s="1"/>
      <c r="P30" s="1">
        <f t="shared" si="6"/>
        <v>0</v>
      </c>
      <c r="Q30" s="3">
        <f t="shared" si="5"/>
        <v>0</v>
      </c>
    </row>
    <row r="31" ht="15.75" customHeight="1">
      <c r="A31" s="1" t="s">
        <v>17</v>
      </c>
      <c r="I31" s="1"/>
      <c r="J31" s="1"/>
      <c r="K31" s="1"/>
      <c r="L31" s="1"/>
      <c r="M31" s="1"/>
      <c r="N31" s="1"/>
      <c r="O31" s="1"/>
      <c r="P31" s="1">
        <f t="shared" si="6"/>
        <v>0</v>
      </c>
      <c r="Q31" s="3">
        <f t="shared" si="5"/>
        <v>0</v>
      </c>
    </row>
    <row r="32" ht="15.75" customHeight="1">
      <c r="A32" s="1" t="s">
        <v>17</v>
      </c>
      <c r="I32" s="1"/>
      <c r="J32" s="1"/>
      <c r="K32" s="1"/>
      <c r="L32" s="1"/>
      <c r="M32" s="1"/>
      <c r="N32" s="1"/>
      <c r="O32" s="1"/>
      <c r="P32" s="1">
        <f t="shared" si="6"/>
        <v>0</v>
      </c>
      <c r="Q32" s="3">
        <f t="shared" si="5"/>
        <v>0</v>
      </c>
    </row>
    <row r="33" ht="15.75" customHeight="1">
      <c r="A33" s="1" t="s">
        <v>17</v>
      </c>
      <c r="I33" s="1"/>
      <c r="J33" s="1"/>
      <c r="K33" s="1"/>
      <c r="L33" s="1"/>
      <c r="M33" s="1"/>
      <c r="N33" s="1"/>
      <c r="O33" s="1"/>
      <c r="P33" s="1">
        <f t="shared" si="6"/>
        <v>0</v>
      </c>
      <c r="Q33" s="3">
        <f t="shared" si="5"/>
        <v>0</v>
      </c>
    </row>
    <row r="34" ht="15.75" customHeight="1">
      <c r="A34" s="1" t="s">
        <v>17</v>
      </c>
      <c r="I34" s="1"/>
      <c r="J34" s="1"/>
      <c r="K34" s="1"/>
      <c r="L34" s="1"/>
      <c r="M34" s="1"/>
      <c r="N34" s="1"/>
      <c r="O34" s="1"/>
      <c r="P34" s="1">
        <f t="shared" si="6"/>
        <v>0</v>
      </c>
      <c r="Q34" s="3">
        <f t="shared" si="5"/>
        <v>0</v>
      </c>
    </row>
    <row r="35" ht="15.75" customHeight="1">
      <c r="A35" s="1" t="s">
        <v>17</v>
      </c>
      <c r="I35" s="1"/>
      <c r="J35" s="1"/>
      <c r="K35" s="1"/>
      <c r="L35" s="1"/>
      <c r="M35" s="1"/>
      <c r="N35" s="1"/>
      <c r="O35" s="1"/>
      <c r="P35" s="1">
        <f t="shared" si="6"/>
        <v>0</v>
      </c>
      <c r="Q35" s="3">
        <f t="shared" si="5"/>
        <v>0</v>
      </c>
    </row>
    <row r="36" ht="15.75" customHeight="1">
      <c r="I36" s="1"/>
      <c r="J36" s="1"/>
      <c r="K36" s="1"/>
      <c r="L36" s="1"/>
      <c r="M36" s="1"/>
      <c r="N36" s="1"/>
      <c r="O36" s="1"/>
      <c r="P36" s="1">
        <f t="shared" si="6"/>
        <v>0</v>
      </c>
      <c r="Q36" s="3">
        <f t="shared" si="5"/>
        <v>0</v>
      </c>
    </row>
    <row r="37" ht="15.75" customHeight="1">
      <c r="I37" s="1">
        <f t="shared" ref="I37:K37" si="7">COUNTIF(I2:I36, "✔️")</f>
        <v>18</v>
      </c>
      <c r="J37" s="1">
        <f t="shared" si="7"/>
        <v>0</v>
      </c>
      <c r="K37" s="1">
        <f t="shared" si="7"/>
        <v>14</v>
      </c>
      <c r="L37" s="1"/>
      <c r="M37" s="1">
        <f>COUNTIF(M2:M36, "✔️")</f>
        <v>15</v>
      </c>
      <c r="N37" s="1"/>
      <c r="O37" s="1">
        <f>COUNTIF(O2:O36, "✔️")</f>
        <v>5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6">
    <cfRule type="notContainsBlanks" dxfId="0" priority="1">
      <formula>LEN(TRIM(I2))&gt;0</formula>
    </cfRule>
  </conditionalFormatting>
  <conditionalFormatting sqref="Q2:Q36">
    <cfRule type="notContainsBlanks" dxfId="0" priority="2">
      <formula>LEN(TRIM(Q2))&gt;0</formula>
    </cfRule>
  </conditionalFormatting>
  <dataValidations>
    <dataValidation type="list" allowBlank="1" showErrorMessage="1" sqref="I2:K36 M2:M36 O2:O36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17</v>
      </c>
      <c r="B2" s="4">
        <v>6.00412824E8</v>
      </c>
      <c r="C2" s="1" t="s">
        <v>64</v>
      </c>
      <c r="D2" s="1" t="s">
        <v>65</v>
      </c>
      <c r="E2" s="1">
        <v>6.0</v>
      </c>
      <c r="F2" s="1" t="s">
        <v>20</v>
      </c>
      <c r="G2" s="6" t="s">
        <v>33</v>
      </c>
      <c r="I2" s="1" t="s">
        <v>22</v>
      </c>
      <c r="J2" s="1"/>
      <c r="K2" s="1" t="s">
        <v>22</v>
      </c>
      <c r="L2" s="1">
        <v>0.0</v>
      </c>
      <c r="M2" s="1" t="s">
        <v>22</v>
      </c>
      <c r="N2" s="1">
        <v>11.0</v>
      </c>
      <c r="O2" s="1" t="s">
        <v>23</v>
      </c>
      <c r="P2" s="1">
        <v>3.0</v>
      </c>
      <c r="Q2" s="3">
        <v>300.0</v>
      </c>
    </row>
    <row r="3" ht="15.75" customHeight="1">
      <c r="A3" s="1" t="s">
        <v>17</v>
      </c>
      <c r="B3" s="4">
        <v>6.00411685E8</v>
      </c>
      <c r="C3" s="1" t="s">
        <v>18</v>
      </c>
      <c r="D3" s="1" t="s">
        <v>66</v>
      </c>
      <c r="E3" s="1">
        <v>6.0</v>
      </c>
      <c r="F3" s="1" t="s">
        <v>20</v>
      </c>
      <c r="G3" s="6" t="s">
        <v>21</v>
      </c>
      <c r="I3" s="1" t="s">
        <v>22</v>
      </c>
      <c r="J3" s="1"/>
      <c r="K3" s="1" t="s">
        <v>22</v>
      </c>
      <c r="L3" s="1">
        <v>0.0</v>
      </c>
      <c r="M3" s="1" t="s">
        <v>22</v>
      </c>
      <c r="N3" s="1">
        <v>8.0</v>
      </c>
      <c r="O3" s="1" t="s">
        <v>23</v>
      </c>
      <c r="P3" s="1">
        <f>COUNTIF(I3:O3, "✔️")</f>
        <v>3</v>
      </c>
      <c r="Q3" s="3">
        <f>IF(P3=1, 100, IF(P3=2, 200, IF(P3=3, 300, 0)))</f>
        <v>300</v>
      </c>
    </row>
    <row r="4" ht="15.75" customHeight="1">
      <c r="A4" s="1" t="s">
        <v>17</v>
      </c>
      <c r="B4" s="4">
        <v>6.00409877E8</v>
      </c>
      <c r="C4" s="1" t="s">
        <v>67</v>
      </c>
      <c r="D4" s="1" t="s">
        <v>68</v>
      </c>
      <c r="E4" s="1">
        <v>6.0</v>
      </c>
      <c r="F4" s="1" t="s">
        <v>20</v>
      </c>
      <c r="G4" s="6" t="s">
        <v>21</v>
      </c>
      <c r="I4" s="1" t="s">
        <v>22</v>
      </c>
      <c r="J4" s="1"/>
      <c r="K4" s="1" t="s">
        <v>22</v>
      </c>
      <c r="L4" s="1">
        <v>0.0</v>
      </c>
      <c r="M4" s="1" t="s">
        <v>22</v>
      </c>
      <c r="N4" s="1">
        <v>8.0</v>
      </c>
      <c r="O4" s="1" t="s">
        <v>23</v>
      </c>
      <c r="P4" s="1">
        <v>3.0</v>
      </c>
      <c r="Q4" s="3">
        <v>300.0</v>
      </c>
    </row>
    <row r="5" ht="15.75" customHeight="1">
      <c r="A5" s="1" t="s">
        <v>17</v>
      </c>
      <c r="B5" s="4">
        <v>6.00410405E8</v>
      </c>
      <c r="C5" s="1" t="s">
        <v>69</v>
      </c>
      <c r="D5" s="1" t="s">
        <v>70</v>
      </c>
      <c r="E5" s="1">
        <v>5.0</v>
      </c>
      <c r="F5" s="1" t="s">
        <v>71</v>
      </c>
      <c r="G5" s="6" t="s">
        <v>33</v>
      </c>
      <c r="I5" s="1" t="s">
        <v>22</v>
      </c>
      <c r="J5" s="1"/>
      <c r="K5" s="1" t="s">
        <v>22</v>
      </c>
      <c r="L5" s="1">
        <v>1.0</v>
      </c>
      <c r="M5" s="1" t="s">
        <v>22</v>
      </c>
      <c r="N5" s="1">
        <v>7.0</v>
      </c>
      <c r="O5" s="1" t="s">
        <v>23</v>
      </c>
      <c r="P5" s="1">
        <f t="shared" ref="P5:P7" si="1">COUNTIF(I5:O5, "✔️")</f>
        <v>3</v>
      </c>
      <c r="Q5" s="3">
        <f t="shared" ref="Q5:Q7" si="2">IF(P5=1, 100, IF(P5=2, 200, IF(P5=3, 300, 0)))</f>
        <v>300</v>
      </c>
    </row>
    <row r="6" ht="15.75" customHeight="1">
      <c r="A6" s="1" t="s">
        <v>17</v>
      </c>
      <c r="B6" s="4">
        <v>6.00412145E8</v>
      </c>
      <c r="C6" s="1" t="s">
        <v>72</v>
      </c>
      <c r="D6" s="1" t="s">
        <v>73</v>
      </c>
      <c r="E6" s="1">
        <v>6.0</v>
      </c>
      <c r="F6" s="1" t="s">
        <v>20</v>
      </c>
      <c r="G6" s="6" t="s">
        <v>33</v>
      </c>
      <c r="I6" s="1" t="s">
        <v>22</v>
      </c>
      <c r="J6" s="1"/>
      <c r="K6" s="1" t="s">
        <v>22</v>
      </c>
      <c r="L6" s="1">
        <v>2.0</v>
      </c>
      <c r="M6" s="1" t="s">
        <v>23</v>
      </c>
      <c r="N6" s="1">
        <v>8.0</v>
      </c>
      <c r="O6" s="1" t="s">
        <v>23</v>
      </c>
      <c r="P6" s="1">
        <f t="shared" si="1"/>
        <v>2</v>
      </c>
      <c r="Q6" s="3">
        <f t="shared" si="2"/>
        <v>200</v>
      </c>
    </row>
    <row r="7" ht="15.75" customHeight="1">
      <c r="A7" s="1" t="s">
        <v>17</v>
      </c>
      <c r="B7" s="4">
        <v>6.0041135E8</v>
      </c>
      <c r="C7" s="1" t="s">
        <v>35</v>
      </c>
      <c r="D7" s="1" t="s">
        <v>74</v>
      </c>
      <c r="E7" s="1">
        <v>5.0</v>
      </c>
      <c r="F7" s="1" t="s">
        <v>20</v>
      </c>
      <c r="G7" s="6" t="s">
        <v>33</v>
      </c>
      <c r="I7" s="1" t="s">
        <v>22</v>
      </c>
      <c r="J7" s="1"/>
      <c r="K7" s="1" t="s">
        <v>23</v>
      </c>
      <c r="L7" s="1">
        <v>0.0</v>
      </c>
      <c r="M7" s="1" t="s">
        <v>22</v>
      </c>
      <c r="N7" s="1">
        <v>2.0</v>
      </c>
      <c r="O7" s="1" t="s">
        <v>22</v>
      </c>
      <c r="P7" s="1">
        <f t="shared" si="1"/>
        <v>3</v>
      </c>
      <c r="Q7" s="3">
        <f t="shared" si="2"/>
        <v>300</v>
      </c>
    </row>
    <row r="8" ht="15.75" customHeight="1">
      <c r="A8" s="1" t="s">
        <v>17</v>
      </c>
      <c r="B8" s="4">
        <v>6.00410345E8</v>
      </c>
      <c r="C8" s="1" t="s">
        <v>35</v>
      </c>
      <c r="D8" s="1" t="s">
        <v>75</v>
      </c>
      <c r="E8" s="1">
        <v>5.0</v>
      </c>
      <c r="F8" s="1" t="s">
        <v>20</v>
      </c>
      <c r="G8" s="6" t="s">
        <v>21</v>
      </c>
      <c r="I8" s="1" t="s">
        <v>22</v>
      </c>
      <c r="J8" s="1"/>
      <c r="K8" s="1" t="s">
        <v>22</v>
      </c>
      <c r="L8" s="1">
        <v>0.0</v>
      </c>
      <c r="M8" s="1" t="s">
        <v>22</v>
      </c>
      <c r="N8" s="1">
        <v>7.0</v>
      </c>
      <c r="O8" s="1" t="s">
        <v>23</v>
      </c>
      <c r="P8" s="1">
        <v>3.0</v>
      </c>
      <c r="Q8" s="3">
        <v>300.0</v>
      </c>
    </row>
    <row r="9" ht="15.75" customHeight="1">
      <c r="A9" s="1" t="s">
        <v>17</v>
      </c>
      <c r="B9" s="4">
        <v>6.00412581E8</v>
      </c>
      <c r="C9" s="1" t="s">
        <v>76</v>
      </c>
      <c r="D9" s="1" t="s">
        <v>77</v>
      </c>
      <c r="E9" s="1">
        <v>5.0</v>
      </c>
      <c r="F9" s="1" t="s">
        <v>20</v>
      </c>
      <c r="G9" s="6" t="s">
        <v>33</v>
      </c>
      <c r="I9" s="1" t="s">
        <v>22</v>
      </c>
      <c r="J9" s="1"/>
      <c r="K9" s="1" t="s">
        <v>23</v>
      </c>
      <c r="L9" s="1">
        <v>2.0</v>
      </c>
      <c r="M9" s="1" t="s">
        <v>23</v>
      </c>
      <c r="N9" s="1">
        <v>7.0</v>
      </c>
      <c r="O9" s="1" t="s">
        <v>23</v>
      </c>
      <c r="P9" s="1">
        <v>1.0</v>
      </c>
      <c r="Q9" s="3">
        <v>100.0</v>
      </c>
    </row>
    <row r="10" ht="15.75" customHeight="1">
      <c r="A10" s="1" t="s">
        <v>17</v>
      </c>
      <c r="B10" s="4">
        <v>6.00409887E8</v>
      </c>
      <c r="C10" s="1" t="s">
        <v>78</v>
      </c>
      <c r="D10" s="1" t="s">
        <v>79</v>
      </c>
      <c r="E10" s="1">
        <v>5.0</v>
      </c>
      <c r="F10" s="1" t="s">
        <v>55</v>
      </c>
      <c r="G10" s="6" t="s">
        <v>33</v>
      </c>
      <c r="I10" s="1" t="s">
        <v>22</v>
      </c>
      <c r="J10" s="1"/>
      <c r="K10" s="1" t="s">
        <v>22</v>
      </c>
      <c r="L10" s="1">
        <v>0.0</v>
      </c>
      <c r="M10" s="1" t="s">
        <v>22</v>
      </c>
      <c r="N10" s="1"/>
      <c r="O10" s="1"/>
      <c r="P10" s="1">
        <f t="shared" ref="P10:P14" si="3">COUNTIF(I10:O10, "✔️")</f>
        <v>3</v>
      </c>
      <c r="Q10" s="3">
        <f t="shared" ref="Q10:Q34" si="4">IF(P10=1, 100, IF(P10=2, 200, IF(P10=3, 300, 0)))</f>
        <v>300</v>
      </c>
    </row>
    <row r="11" ht="15.75" customHeight="1">
      <c r="A11" s="1" t="s">
        <v>17</v>
      </c>
      <c r="B11" s="4">
        <v>6.00412147E8</v>
      </c>
      <c r="C11" s="1" t="s">
        <v>80</v>
      </c>
      <c r="D11" s="1" t="s">
        <v>81</v>
      </c>
      <c r="E11" s="1">
        <v>5.0</v>
      </c>
      <c r="F11" s="1" t="s">
        <v>42</v>
      </c>
      <c r="G11" s="6" t="s">
        <v>33</v>
      </c>
      <c r="I11" s="1" t="s">
        <v>22</v>
      </c>
      <c r="J11" s="1"/>
      <c r="K11" s="1" t="s">
        <v>22</v>
      </c>
      <c r="L11" s="1">
        <v>0.0</v>
      </c>
      <c r="M11" s="1" t="s">
        <v>22</v>
      </c>
      <c r="N11" s="1">
        <v>5.0</v>
      </c>
      <c r="O11" s="1" t="s">
        <v>23</v>
      </c>
      <c r="P11" s="1">
        <f t="shared" si="3"/>
        <v>3</v>
      </c>
      <c r="Q11" s="3">
        <f t="shared" si="4"/>
        <v>300</v>
      </c>
    </row>
    <row r="12" ht="15.75" customHeight="1">
      <c r="A12" s="1" t="s">
        <v>17</v>
      </c>
      <c r="B12" s="4">
        <v>6.00411467E8</v>
      </c>
      <c r="C12" s="1" t="s">
        <v>82</v>
      </c>
      <c r="D12" s="1" t="s">
        <v>83</v>
      </c>
      <c r="E12" s="1">
        <v>5.0</v>
      </c>
      <c r="F12" s="1" t="s">
        <v>20</v>
      </c>
      <c r="G12" s="6" t="s">
        <v>33</v>
      </c>
      <c r="I12" s="1" t="s">
        <v>22</v>
      </c>
      <c r="J12" s="1"/>
      <c r="K12" s="1" t="s">
        <v>22</v>
      </c>
      <c r="L12" s="1">
        <v>0.0</v>
      </c>
      <c r="M12" s="1" t="s">
        <v>22</v>
      </c>
      <c r="N12" s="1">
        <v>10.0</v>
      </c>
      <c r="O12" s="1" t="s">
        <v>23</v>
      </c>
      <c r="P12" s="1">
        <f t="shared" si="3"/>
        <v>3</v>
      </c>
      <c r="Q12" s="3">
        <f t="shared" si="4"/>
        <v>300</v>
      </c>
    </row>
    <row r="13" ht="15.75" customHeight="1">
      <c r="A13" s="1" t="s">
        <v>17</v>
      </c>
      <c r="B13" s="4">
        <v>6.00412066E8</v>
      </c>
      <c r="C13" s="1" t="s">
        <v>84</v>
      </c>
      <c r="D13" s="1" t="s">
        <v>85</v>
      </c>
      <c r="E13" s="1">
        <v>6.0</v>
      </c>
      <c r="F13" s="1" t="s">
        <v>20</v>
      </c>
      <c r="G13" s="6" t="s">
        <v>21</v>
      </c>
      <c r="I13" s="1" t="s">
        <v>22</v>
      </c>
      <c r="J13" s="1"/>
      <c r="K13" s="1" t="s">
        <v>22</v>
      </c>
      <c r="L13" s="1">
        <v>0.0</v>
      </c>
      <c r="M13" s="1" t="s">
        <v>22</v>
      </c>
      <c r="N13" s="1">
        <v>7.0</v>
      </c>
      <c r="O13" s="1" t="s">
        <v>23</v>
      </c>
      <c r="P13" s="1">
        <f t="shared" si="3"/>
        <v>3</v>
      </c>
      <c r="Q13" s="3">
        <f t="shared" si="4"/>
        <v>300</v>
      </c>
    </row>
    <row r="14" ht="15.75" customHeight="1">
      <c r="A14" s="1" t="s">
        <v>17</v>
      </c>
      <c r="B14" s="4">
        <v>6.00409894E8</v>
      </c>
      <c r="C14" s="1" t="s">
        <v>86</v>
      </c>
      <c r="D14" s="1" t="s">
        <v>87</v>
      </c>
      <c r="E14" s="1">
        <v>5.0</v>
      </c>
      <c r="F14" s="1" t="s">
        <v>42</v>
      </c>
      <c r="G14" s="6" t="s">
        <v>21</v>
      </c>
      <c r="I14" s="1" t="s">
        <v>22</v>
      </c>
      <c r="J14" s="1"/>
      <c r="K14" s="1" t="s">
        <v>22</v>
      </c>
      <c r="L14" s="1">
        <v>0.0</v>
      </c>
      <c r="M14" s="1" t="s">
        <v>22</v>
      </c>
      <c r="N14" s="1">
        <v>7.0</v>
      </c>
      <c r="O14" s="1" t="s">
        <v>23</v>
      </c>
      <c r="P14" s="1">
        <f t="shared" si="3"/>
        <v>3</v>
      </c>
      <c r="Q14" s="3">
        <f t="shared" si="4"/>
        <v>300</v>
      </c>
    </row>
    <row r="15" ht="15.75" customHeight="1">
      <c r="A15" s="1" t="s">
        <v>17</v>
      </c>
      <c r="B15" s="4">
        <v>6.004115E8</v>
      </c>
      <c r="C15" s="1" t="s">
        <v>88</v>
      </c>
      <c r="D15" s="1" t="s">
        <v>89</v>
      </c>
      <c r="E15" s="1">
        <v>6.0</v>
      </c>
      <c r="F15" s="1" t="s">
        <v>20</v>
      </c>
      <c r="G15" s="6" t="s">
        <v>21</v>
      </c>
      <c r="I15" s="1" t="s">
        <v>22</v>
      </c>
      <c r="J15" s="1"/>
      <c r="K15" s="1" t="s">
        <v>22</v>
      </c>
      <c r="L15" s="1">
        <v>0.0</v>
      </c>
      <c r="M15" s="1" t="s">
        <v>22</v>
      </c>
      <c r="N15" s="1">
        <v>1.0</v>
      </c>
      <c r="O15" s="1" t="s">
        <v>22</v>
      </c>
      <c r="P15" s="1">
        <v>3.0</v>
      </c>
      <c r="Q15" s="3">
        <f t="shared" si="4"/>
        <v>300</v>
      </c>
    </row>
    <row r="16" ht="15.75" customHeight="1">
      <c r="A16" s="1" t="s">
        <v>17</v>
      </c>
      <c r="B16" s="4">
        <v>6.004099E8</v>
      </c>
      <c r="C16" s="1" t="s">
        <v>90</v>
      </c>
      <c r="D16" s="1" t="s">
        <v>41</v>
      </c>
      <c r="E16" s="1">
        <v>6.0</v>
      </c>
      <c r="F16" s="1" t="s">
        <v>20</v>
      </c>
      <c r="G16" s="6" t="s">
        <v>33</v>
      </c>
      <c r="I16" s="1" t="s">
        <v>22</v>
      </c>
      <c r="J16" s="1"/>
      <c r="K16" s="1" t="s">
        <v>22</v>
      </c>
      <c r="L16" s="1">
        <v>0.0</v>
      </c>
      <c r="M16" s="1" t="s">
        <v>22</v>
      </c>
      <c r="N16" s="1">
        <v>1.0</v>
      </c>
      <c r="O16" s="1" t="s">
        <v>22</v>
      </c>
      <c r="P16" s="1">
        <v>3.0</v>
      </c>
      <c r="Q16" s="3">
        <f t="shared" si="4"/>
        <v>300</v>
      </c>
    </row>
    <row r="17" ht="15.75" customHeight="1">
      <c r="A17" s="1" t="s">
        <v>17</v>
      </c>
      <c r="B17" s="4">
        <v>6.00411045E8</v>
      </c>
      <c r="C17" s="1" t="s">
        <v>91</v>
      </c>
      <c r="D17" s="1" t="s">
        <v>92</v>
      </c>
      <c r="E17" s="1">
        <v>6.0</v>
      </c>
      <c r="F17" s="1" t="s">
        <v>55</v>
      </c>
      <c r="G17" s="6" t="s">
        <v>33</v>
      </c>
      <c r="I17" s="1" t="s">
        <v>22</v>
      </c>
      <c r="J17" s="1"/>
      <c r="K17" s="1" t="s">
        <v>22</v>
      </c>
      <c r="L17" s="1">
        <v>0.0</v>
      </c>
      <c r="M17" s="1" t="s">
        <v>22</v>
      </c>
      <c r="N17" s="1">
        <v>5.0</v>
      </c>
      <c r="O17" s="1" t="s">
        <v>23</v>
      </c>
      <c r="P17" s="1">
        <f>COUNTIF(I17:O17, "✔️")</f>
        <v>3</v>
      </c>
      <c r="Q17" s="3">
        <f t="shared" si="4"/>
        <v>300</v>
      </c>
    </row>
    <row r="18" ht="15.75" customHeight="1">
      <c r="A18" s="1" t="s">
        <v>17</v>
      </c>
      <c r="B18" s="4">
        <v>6.00411581E8</v>
      </c>
      <c r="C18" s="1" t="s">
        <v>93</v>
      </c>
      <c r="D18" s="1" t="s">
        <v>94</v>
      </c>
      <c r="E18" s="1">
        <v>5.0</v>
      </c>
      <c r="F18" s="1" t="s">
        <v>55</v>
      </c>
      <c r="G18" s="6" t="s">
        <v>33</v>
      </c>
      <c r="I18" s="1" t="s">
        <v>22</v>
      </c>
      <c r="J18" s="1"/>
      <c r="K18" s="1" t="s">
        <v>22</v>
      </c>
      <c r="L18" s="1">
        <v>0.0</v>
      </c>
      <c r="M18" s="1" t="s">
        <v>22</v>
      </c>
      <c r="N18" s="1">
        <v>2.0</v>
      </c>
      <c r="O18" s="1" t="s">
        <v>22</v>
      </c>
      <c r="P18" s="1">
        <v>3.0</v>
      </c>
      <c r="Q18" s="3">
        <f t="shared" si="4"/>
        <v>300</v>
      </c>
    </row>
    <row r="19" ht="15.75" customHeight="1">
      <c r="A19" s="1" t="s">
        <v>17</v>
      </c>
      <c r="B19" s="4">
        <v>6.00412586E8</v>
      </c>
      <c r="C19" s="1" t="s">
        <v>95</v>
      </c>
      <c r="D19" s="1" t="s">
        <v>96</v>
      </c>
      <c r="E19" s="1">
        <v>6.0</v>
      </c>
      <c r="F19" s="1" t="s">
        <v>20</v>
      </c>
      <c r="G19" s="6" t="s">
        <v>33</v>
      </c>
      <c r="I19" s="1" t="s">
        <v>22</v>
      </c>
      <c r="J19" s="1"/>
      <c r="K19" s="1" t="s">
        <v>22</v>
      </c>
      <c r="L19" s="1">
        <v>0.0</v>
      </c>
      <c r="M19" s="1" t="s">
        <v>22</v>
      </c>
      <c r="N19" s="1">
        <v>6.0</v>
      </c>
      <c r="O19" s="1" t="s">
        <v>23</v>
      </c>
      <c r="P19" s="1">
        <f t="shared" ref="P19:P34" si="5">COUNTIF(I19:O19, "✔️")</f>
        <v>3</v>
      </c>
      <c r="Q19" s="3">
        <f t="shared" si="4"/>
        <v>300</v>
      </c>
    </row>
    <row r="20" ht="15.75" customHeight="1">
      <c r="A20" s="1" t="s">
        <v>17</v>
      </c>
      <c r="B20" s="4">
        <v>6.00412583E8</v>
      </c>
      <c r="C20" s="1" t="s">
        <v>97</v>
      </c>
      <c r="D20" s="1" t="s">
        <v>98</v>
      </c>
      <c r="E20" s="1">
        <v>5.0</v>
      </c>
      <c r="F20" s="1" t="s">
        <v>20</v>
      </c>
      <c r="G20" s="6" t="s">
        <v>33</v>
      </c>
      <c r="I20" s="1" t="s">
        <v>22</v>
      </c>
      <c r="J20" s="1"/>
      <c r="K20" s="1" t="s">
        <v>22</v>
      </c>
      <c r="L20" s="1">
        <v>0.0</v>
      </c>
      <c r="M20" s="1" t="s">
        <v>22</v>
      </c>
      <c r="N20" s="1">
        <v>13.0</v>
      </c>
      <c r="O20" s="1" t="s">
        <v>23</v>
      </c>
      <c r="P20" s="1">
        <f t="shared" si="5"/>
        <v>3</v>
      </c>
      <c r="Q20" s="3">
        <f t="shared" si="4"/>
        <v>300</v>
      </c>
    </row>
    <row r="21" ht="15.75" customHeight="1">
      <c r="A21" s="1" t="s">
        <v>17</v>
      </c>
      <c r="I21" s="1"/>
      <c r="J21" s="1"/>
      <c r="K21" s="1"/>
      <c r="L21" s="1"/>
      <c r="M21" s="1"/>
      <c r="N21" s="1"/>
      <c r="O21" s="1"/>
      <c r="P21" s="1">
        <f t="shared" si="5"/>
        <v>0</v>
      </c>
      <c r="Q21" s="3">
        <f t="shared" si="4"/>
        <v>0</v>
      </c>
    </row>
    <row r="22" ht="15.75" customHeight="1">
      <c r="A22" s="1" t="s">
        <v>17</v>
      </c>
      <c r="I22" s="1"/>
      <c r="J22" s="1"/>
      <c r="K22" s="1"/>
      <c r="L22" s="1"/>
      <c r="M22" s="1"/>
      <c r="N22" s="1"/>
      <c r="O22" s="1"/>
      <c r="P22" s="1">
        <f t="shared" si="5"/>
        <v>0</v>
      </c>
      <c r="Q22" s="3">
        <f t="shared" si="4"/>
        <v>0</v>
      </c>
    </row>
    <row r="23" ht="15.75" customHeight="1">
      <c r="A23" s="1" t="s">
        <v>17</v>
      </c>
      <c r="I23" s="1"/>
      <c r="J23" s="1"/>
      <c r="K23" s="1"/>
      <c r="L23" s="1"/>
      <c r="M23" s="1"/>
      <c r="N23" s="1"/>
      <c r="O23" s="1"/>
      <c r="P23" s="1">
        <f t="shared" si="5"/>
        <v>0</v>
      </c>
      <c r="Q23" s="3">
        <f t="shared" si="4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5"/>
        <v>0</v>
      </c>
      <c r="Q24" s="3">
        <f t="shared" si="4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5"/>
        <v>0</v>
      </c>
      <c r="Q25" s="3">
        <f t="shared" si="4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5"/>
        <v>0</v>
      </c>
      <c r="Q26" s="3">
        <f t="shared" si="4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5"/>
        <v>0</v>
      </c>
      <c r="Q27" s="3">
        <f t="shared" si="4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5"/>
        <v>0</v>
      </c>
      <c r="Q28" s="3">
        <f t="shared" si="4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5"/>
        <v>0</v>
      </c>
      <c r="Q29" s="3">
        <f t="shared" si="4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5"/>
        <v>0</v>
      </c>
      <c r="Q30" s="3">
        <f t="shared" si="4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5"/>
        <v>0</v>
      </c>
      <c r="Q31" s="3">
        <f t="shared" si="4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5"/>
        <v>0</v>
      </c>
      <c r="Q32" s="3">
        <f t="shared" si="4"/>
        <v>0</v>
      </c>
    </row>
    <row r="33" ht="15.75" customHeight="1">
      <c r="I33" s="1"/>
      <c r="J33" s="1"/>
      <c r="K33" s="1"/>
      <c r="L33" s="1"/>
      <c r="M33" s="1"/>
      <c r="N33" s="1"/>
      <c r="O33" s="1"/>
      <c r="P33" s="1">
        <f t="shared" si="5"/>
        <v>0</v>
      </c>
      <c r="Q33" s="3">
        <f t="shared" si="4"/>
        <v>0</v>
      </c>
    </row>
    <row r="34" ht="15.75" customHeight="1">
      <c r="I34" s="1"/>
      <c r="J34" s="1"/>
      <c r="K34" s="1"/>
      <c r="L34" s="1"/>
      <c r="M34" s="1"/>
      <c r="N34" s="1"/>
      <c r="O34" s="1"/>
      <c r="P34" s="1">
        <f t="shared" si="5"/>
        <v>0</v>
      </c>
      <c r="Q34" s="3">
        <f t="shared" si="4"/>
        <v>0</v>
      </c>
    </row>
    <row r="35" ht="15.75" customHeight="1">
      <c r="I35" s="1">
        <f t="shared" ref="I35:K35" si="6">COUNTIF(I3:I34, "✔️")</f>
        <v>18</v>
      </c>
      <c r="J35" s="1">
        <f t="shared" si="6"/>
        <v>0</v>
      </c>
      <c r="K35" s="1">
        <f t="shared" si="6"/>
        <v>16</v>
      </c>
      <c r="L35" s="1"/>
      <c r="M35" s="1">
        <f>COUNTIF(M3:M34, "✔️")</f>
        <v>16</v>
      </c>
      <c r="N35" s="1"/>
      <c r="O35" s="1">
        <f>COUNTIF(O3:O34, "✔️")</f>
        <v>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4">
    <cfRule type="notContainsBlanks" dxfId="0" priority="1">
      <formula>LEN(TRIM(I2))&gt;0</formula>
    </cfRule>
  </conditionalFormatting>
  <conditionalFormatting sqref="Q2:Q34">
    <cfRule type="notContainsBlanks" dxfId="0" priority="2">
      <formula>LEN(TRIM(Q2))&gt;0</formula>
    </cfRule>
  </conditionalFormatting>
  <dataValidations>
    <dataValidation type="list" allowBlank="1" showErrorMessage="1" sqref="I2:K34 M2:M34 O2:O34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17</v>
      </c>
      <c r="B2" s="4">
        <v>6.00409874E8</v>
      </c>
      <c r="C2" s="1" t="s">
        <v>99</v>
      </c>
      <c r="D2" s="1" t="s">
        <v>100</v>
      </c>
      <c r="E2" s="1">
        <v>5.0</v>
      </c>
      <c r="F2" s="1" t="s">
        <v>20</v>
      </c>
      <c r="G2" s="6" t="s">
        <v>21</v>
      </c>
      <c r="I2" s="1" t="s">
        <v>22</v>
      </c>
      <c r="J2" s="1"/>
      <c r="K2" s="1" t="s">
        <v>23</v>
      </c>
      <c r="L2" s="1">
        <v>0.0</v>
      </c>
      <c r="M2" s="1" t="s">
        <v>22</v>
      </c>
      <c r="N2" s="1">
        <v>2.0</v>
      </c>
      <c r="O2" s="1" t="s">
        <v>22</v>
      </c>
      <c r="P2" s="1">
        <f t="shared" ref="P2:P3" si="1">COUNTIF(I2:O2, "✔️")</f>
        <v>3</v>
      </c>
      <c r="Q2" s="3">
        <f t="shared" ref="Q2:Q34" si="2">IF(P2=1, 100, IF(P2=2, 200, IF(P2=3, 300, 0)))</f>
        <v>300</v>
      </c>
    </row>
    <row r="3" ht="15.75" customHeight="1">
      <c r="A3" s="1" t="s">
        <v>17</v>
      </c>
      <c r="B3" s="4">
        <v>6.00412149E8</v>
      </c>
      <c r="C3" s="1" t="s">
        <v>101</v>
      </c>
      <c r="D3" s="1" t="s">
        <v>102</v>
      </c>
      <c r="E3" s="1">
        <v>5.0</v>
      </c>
      <c r="F3" s="1" t="s">
        <v>20</v>
      </c>
      <c r="G3" s="6" t="s">
        <v>21</v>
      </c>
      <c r="I3" s="1" t="s">
        <v>22</v>
      </c>
      <c r="J3" s="1"/>
      <c r="K3" s="1" t="s">
        <v>22</v>
      </c>
      <c r="L3" s="1">
        <v>0.0</v>
      </c>
      <c r="M3" s="1" t="s">
        <v>22</v>
      </c>
      <c r="N3" s="1">
        <v>7.0</v>
      </c>
      <c r="O3" s="1" t="s">
        <v>23</v>
      </c>
      <c r="P3" s="1">
        <f t="shared" si="1"/>
        <v>3</v>
      </c>
      <c r="Q3" s="3">
        <f t="shared" si="2"/>
        <v>300</v>
      </c>
    </row>
    <row r="4" ht="15.75" customHeight="1">
      <c r="A4" s="1" t="s">
        <v>17</v>
      </c>
      <c r="B4" s="4">
        <v>6.0041235E8</v>
      </c>
      <c r="C4" s="1" t="s">
        <v>103</v>
      </c>
      <c r="D4" s="1" t="s">
        <v>104</v>
      </c>
      <c r="E4" s="1">
        <v>5.0</v>
      </c>
      <c r="F4" s="1" t="s">
        <v>55</v>
      </c>
      <c r="G4" s="6" t="s">
        <v>33</v>
      </c>
      <c r="I4" s="1" t="s">
        <v>22</v>
      </c>
      <c r="J4" s="1"/>
      <c r="K4" s="1" t="s">
        <v>22</v>
      </c>
      <c r="L4" s="1">
        <v>0.0</v>
      </c>
      <c r="M4" s="1" t="s">
        <v>22</v>
      </c>
      <c r="N4" s="1">
        <v>1.0</v>
      </c>
      <c r="O4" s="1" t="s">
        <v>22</v>
      </c>
      <c r="P4" s="1">
        <v>3.0</v>
      </c>
      <c r="Q4" s="3">
        <f t="shared" si="2"/>
        <v>300</v>
      </c>
    </row>
    <row r="5" ht="15.75" customHeight="1">
      <c r="A5" s="1" t="s">
        <v>17</v>
      </c>
      <c r="B5" s="4">
        <v>6.00412697E8</v>
      </c>
      <c r="C5" s="1" t="s">
        <v>105</v>
      </c>
      <c r="D5" s="1" t="s">
        <v>106</v>
      </c>
      <c r="E5" s="1">
        <v>5.0</v>
      </c>
      <c r="F5" s="1" t="s">
        <v>20</v>
      </c>
      <c r="G5" s="6" t="s">
        <v>21</v>
      </c>
      <c r="I5" s="1" t="s">
        <v>22</v>
      </c>
      <c r="J5" s="1"/>
      <c r="K5" s="1" t="s">
        <v>22</v>
      </c>
      <c r="L5" s="1">
        <v>0.0</v>
      </c>
      <c r="M5" s="1" t="s">
        <v>22</v>
      </c>
      <c r="N5" s="1">
        <v>6.0</v>
      </c>
      <c r="O5" s="1" t="s">
        <v>23</v>
      </c>
      <c r="P5" s="1">
        <f>COUNTIF(I5:O5, "✔️")</f>
        <v>3</v>
      </c>
      <c r="Q5" s="3">
        <f t="shared" si="2"/>
        <v>300</v>
      </c>
    </row>
    <row r="6" ht="15.75" customHeight="1">
      <c r="A6" s="1" t="s">
        <v>17</v>
      </c>
      <c r="B6" s="4">
        <v>6.00411515E8</v>
      </c>
      <c r="C6" s="1" t="s">
        <v>107</v>
      </c>
      <c r="D6" s="1" t="s">
        <v>108</v>
      </c>
      <c r="E6" s="1">
        <v>5.0</v>
      </c>
      <c r="F6" s="1" t="s">
        <v>20</v>
      </c>
      <c r="G6" s="6" t="s">
        <v>21</v>
      </c>
      <c r="I6" s="1" t="s">
        <v>22</v>
      </c>
      <c r="J6" s="1"/>
      <c r="K6" s="1" t="s">
        <v>22</v>
      </c>
      <c r="L6" s="1">
        <v>0.0</v>
      </c>
      <c r="M6" s="1" t="s">
        <v>22</v>
      </c>
      <c r="N6" s="1">
        <v>3.0</v>
      </c>
      <c r="O6" s="1" t="s">
        <v>22</v>
      </c>
      <c r="P6" s="1">
        <v>3.0</v>
      </c>
      <c r="Q6" s="3">
        <f t="shared" si="2"/>
        <v>300</v>
      </c>
    </row>
    <row r="7" ht="15.75" customHeight="1">
      <c r="A7" s="1" t="s">
        <v>17</v>
      </c>
      <c r="B7" s="4">
        <v>6.00412802E8</v>
      </c>
      <c r="C7" s="1" t="s">
        <v>109</v>
      </c>
      <c r="D7" s="1" t="s">
        <v>110</v>
      </c>
      <c r="E7" s="1">
        <v>6.0</v>
      </c>
      <c r="F7" s="1" t="s">
        <v>42</v>
      </c>
      <c r="G7" s="6" t="s">
        <v>21</v>
      </c>
      <c r="I7" s="1" t="s">
        <v>22</v>
      </c>
      <c r="J7" s="1"/>
      <c r="K7" s="1" t="s">
        <v>22</v>
      </c>
      <c r="L7" s="1">
        <v>0.0</v>
      </c>
      <c r="M7" s="1" t="s">
        <v>22</v>
      </c>
      <c r="N7" s="1">
        <v>11.0</v>
      </c>
      <c r="O7" s="1" t="s">
        <v>23</v>
      </c>
      <c r="P7" s="1">
        <v>3.0</v>
      </c>
      <c r="Q7" s="3">
        <f t="shared" si="2"/>
        <v>300</v>
      </c>
    </row>
    <row r="8" ht="15.75" customHeight="1">
      <c r="A8" s="1" t="s">
        <v>17</v>
      </c>
      <c r="B8" s="4">
        <v>6.00411312E8</v>
      </c>
      <c r="C8" s="1" t="s">
        <v>111</v>
      </c>
      <c r="D8" s="1" t="s">
        <v>112</v>
      </c>
      <c r="E8" s="1">
        <v>5.0</v>
      </c>
      <c r="F8" s="1" t="s">
        <v>20</v>
      </c>
      <c r="G8" s="6" t="s">
        <v>33</v>
      </c>
      <c r="I8" s="1" t="s">
        <v>22</v>
      </c>
      <c r="J8" s="1"/>
      <c r="K8" s="1" t="s">
        <v>22</v>
      </c>
      <c r="L8" s="1">
        <v>0.0</v>
      </c>
      <c r="M8" s="1" t="s">
        <v>22</v>
      </c>
      <c r="N8" s="1">
        <v>8.0</v>
      </c>
      <c r="O8" s="1" t="s">
        <v>23</v>
      </c>
      <c r="P8" s="1">
        <f>COUNTIF(I8:O8, "✔️")</f>
        <v>3</v>
      </c>
      <c r="Q8" s="3">
        <f t="shared" si="2"/>
        <v>300</v>
      </c>
    </row>
    <row r="9" ht="15.75" customHeight="1">
      <c r="A9" s="1" t="s">
        <v>17</v>
      </c>
      <c r="B9" s="4">
        <v>6.00409888E8</v>
      </c>
      <c r="C9" s="1" t="s">
        <v>113</v>
      </c>
      <c r="D9" s="1" t="s">
        <v>114</v>
      </c>
      <c r="E9" s="1">
        <v>5.0</v>
      </c>
      <c r="F9" s="1" t="s">
        <v>42</v>
      </c>
      <c r="G9" s="6" t="s">
        <v>21</v>
      </c>
      <c r="I9" s="1" t="s">
        <v>22</v>
      </c>
      <c r="J9" s="1"/>
      <c r="K9" s="1" t="s">
        <v>22</v>
      </c>
      <c r="L9" s="1">
        <v>1.0</v>
      </c>
      <c r="M9" s="1" t="s">
        <v>22</v>
      </c>
      <c r="N9" s="1">
        <v>3.0</v>
      </c>
      <c r="O9" s="1" t="s">
        <v>22</v>
      </c>
      <c r="P9" s="1">
        <v>3.0</v>
      </c>
      <c r="Q9" s="3">
        <f t="shared" si="2"/>
        <v>300</v>
      </c>
    </row>
    <row r="10" ht="15.75" customHeight="1">
      <c r="A10" s="1" t="s">
        <v>17</v>
      </c>
      <c r="B10" s="4">
        <v>6.00412676E8</v>
      </c>
      <c r="C10" s="1" t="s">
        <v>86</v>
      </c>
      <c r="D10" s="1" t="s">
        <v>115</v>
      </c>
      <c r="E10" s="1">
        <v>6.0</v>
      </c>
      <c r="F10" s="1" t="s">
        <v>20</v>
      </c>
      <c r="G10" s="6" t="s">
        <v>33</v>
      </c>
      <c r="I10" s="1" t="s">
        <v>22</v>
      </c>
      <c r="J10" s="1"/>
      <c r="K10" s="1" t="s">
        <v>22</v>
      </c>
      <c r="L10" s="1">
        <v>0.0</v>
      </c>
      <c r="M10" s="1" t="s">
        <v>22</v>
      </c>
      <c r="N10" s="1">
        <v>3.0</v>
      </c>
      <c r="O10" s="1" t="s">
        <v>22</v>
      </c>
      <c r="P10" s="1">
        <v>3.0</v>
      </c>
      <c r="Q10" s="3">
        <f t="shared" si="2"/>
        <v>300</v>
      </c>
    </row>
    <row r="11" ht="15.75" customHeight="1">
      <c r="A11" s="1" t="s">
        <v>17</v>
      </c>
      <c r="B11" s="4">
        <v>6.00412767E8</v>
      </c>
      <c r="C11" s="1" t="s">
        <v>116</v>
      </c>
      <c r="D11" s="1" t="s">
        <v>117</v>
      </c>
      <c r="E11" s="1">
        <v>5.0</v>
      </c>
      <c r="F11" s="1" t="s">
        <v>55</v>
      </c>
      <c r="G11" s="6" t="s">
        <v>21</v>
      </c>
      <c r="I11" s="1" t="s">
        <v>22</v>
      </c>
      <c r="J11" s="1"/>
      <c r="K11" s="1" t="s">
        <v>23</v>
      </c>
      <c r="L11" s="1">
        <v>0.0</v>
      </c>
      <c r="M11" s="1" t="s">
        <v>22</v>
      </c>
      <c r="N11" s="1">
        <v>6.0</v>
      </c>
      <c r="O11" s="1" t="s">
        <v>23</v>
      </c>
      <c r="P11" s="1">
        <f>COUNTIF(I11:O11, "✔️")</f>
        <v>2</v>
      </c>
      <c r="Q11" s="3">
        <f t="shared" si="2"/>
        <v>200</v>
      </c>
    </row>
    <row r="12" ht="15.75" customHeight="1">
      <c r="A12" s="1" t="s">
        <v>17</v>
      </c>
      <c r="B12" s="4">
        <v>6.00412748E8</v>
      </c>
      <c r="C12" s="1" t="s">
        <v>118</v>
      </c>
      <c r="D12" s="1" t="s">
        <v>119</v>
      </c>
      <c r="E12" s="1">
        <v>5.0</v>
      </c>
      <c r="F12" s="1" t="s">
        <v>20</v>
      </c>
      <c r="G12" s="6" t="s">
        <v>33</v>
      </c>
      <c r="I12" s="1" t="s">
        <v>22</v>
      </c>
      <c r="J12" s="1"/>
      <c r="K12" s="1" t="s">
        <v>22</v>
      </c>
      <c r="L12" s="1">
        <v>0.0</v>
      </c>
      <c r="M12" s="1" t="s">
        <v>22</v>
      </c>
      <c r="N12" s="1">
        <v>11.0</v>
      </c>
      <c r="O12" s="1" t="s">
        <v>23</v>
      </c>
      <c r="P12" s="1">
        <v>3.0</v>
      </c>
      <c r="Q12" s="3">
        <f t="shared" si="2"/>
        <v>300</v>
      </c>
    </row>
    <row r="13" ht="15.75" customHeight="1">
      <c r="A13" s="1" t="s">
        <v>17</v>
      </c>
      <c r="B13" s="4">
        <v>6.0041269E8</v>
      </c>
      <c r="C13" s="1" t="s">
        <v>120</v>
      </c>
      <c r="D13" s="1" t="s">
        <v>121</v>
      </c>
      <c r="E13" s="1">
        <v>5.0</v>
      </c>
      <c r="F13" s="1" t="s">
        <v>20</v>
      </c>
      <c r="G13" s="6" t="s">
        <v>33</v>
      </c>
      <c r="I13" s="1" t="s">
        <v>22</v>
      </c>
      <c r="J13" s="1"/>
      <c r="K13" s="1" t="s">
        <v>23</v>
      </c>
      <c r="L13" s="1">
        <v>2.0</v>
      </c>
      <c r="M13" s="1" t="s">
        <v>23</v>
      </c>
      <c r="N13" s="1">
        <v>4.0</v>
      </c>
      <c r="O13" s="1" t="s">
        <v>23</v>
      </c>
      <c r="P13" s="1">
        <v>1.0</v>
      </c>
      <c r="Q13" s="3">
        <f t="shared" si="2"/>
        <v>100</v>
      </c>
    </row>
    <row r="14" ht="15.75" customHeight="1">
      <c r="A14" s="1" t="s">
        <v>17</v>
      </c>
      <c r="B14" s="4">
        <v>6.00410045E8</v>
      </c>
      <c r="C14" s="1" t="s">
        <v>122</v>
      </c>
      <c r="D14" s="1" t="s">
        <v>123</v>
      </c>
      <c r="E14" s="1">
        <v>5.0</v>
      </c>
      <c r="F14" s="1" t="s">
        <v>20</v>
      </c>
      <c r="G14" s="6" t="s">
        <v>33</v>
      </c>
      <c r="I14" s="1" t="s">
        <v>22</v>
      </c>
      <c r="J14" s="1"/>
      <c r="K14" s="1" t="s">
        <v>23</v>
      </c>
      <c r="L14" s="1">
        <v>0.0</v>
      </c>
      <c r="M14" s="1" t="s">
        <v>22</v>
      </c>
      <c r="N14" s="1">
        <v>7.0</v>
      </c>
      <c r="O14" s="1" t="s">
        <v>23</v>
      </c>
      <c r="P14" s="1">
        <v>2.0</v>
      </c>
      <c r="Q14" s="3">
        <f t="shared" si="2"/>
        <v>200</v>
      </c>
    </row>
    <row r="15" ht="15.75" customHeight="1">
      <c r="A15" s="1" t="s">
        <v>17</v>
      </c>
      <c r="B15" s="4">
        <v>6.00411878E8</v>
      </c>
      <c r="C15" s="1" t="s">
        <v>124</v>
      </c>
      <c r="D15" s="1" t="s">
        <v>125</v>
      </c>
      <c r="E15" s="1">
        <v>5.0</v>
      </c>
      <c r="F15" s="1" t="s">
        <v>20</v>
      </c>
      <c r="G15" s="6" t="s">
        <v>33</v>
      </c>
      <c r="I15" s="1" t="s">
        <v>22</v>
      </c>
      <c r="J15" s="1"/>
      <c r="K15" s="1" t="s">
        <v>22</v>
      </c>
      <c r="L15" s="1">
        <v>0.0</v>
      </c>
      <c r="M15" s="1" t="s">
        <v>22</v>
      </c>
      <c r="N15" s="1">
        <v>2.0</v>
      </c>
      <c r="O15" s="1" t="s">
        <v>22</v>
      </c>
      <c r="P15" s="1">
        <v>3.0</v>
      </c>
      <c r="Q15" s="3">
        <f t="shared" si="2"/>
        <v>300</v>
      </c>
    </row>
    <row r="16" ht="15.75" customHeight="1">
      <c r="A16" s="1" t="s">
        <v>17</v>
      </c>
      <c r="B16" s="4">
        <v>6.00411795E8</v>
      </c>
      <c r="C16" s="1" t="s">
        <v>126</v>
      </c>
      <c r="D16" s="1" t="s">
        <v>127</v>
      </c>
      <c r="E16" s="1">
        <v>5.0</v>
      </c>
      <c r="F16" s="1" t="s">
        <v>20</v>
      </c>
      <c r="G16" s="6" t="s">
        <v>21</v>
      </c>
      <c r="I16" s="1" t="s">
        <v>22</v>
      </c>
      <c r="J16" s="1"/>
      <c r="K16" s="1" t="s">
        <v>22</v>
      </c>
      <c r="L16" s="1">
        <v>0.0</v>
      </c>
      <c r="M16" s="1" t="s">
        <v>22</v>
      </c>
      <c r="N16" s="1">
        <v>2.0</v>
      </c>
      <c r="O16" s="1" t="s">
        <v>22</v>
      </c>
      <c r="P16" s="1">
        <v>3.0</v>
      </c>
      <c r="Q16" s="3">
        <f t="shared" si="2"/>
        <v>300</v>
      </c>
    </row>
    <row r="17" ht="15.75" customHeight="1">
      <c r="A17" s="1" t="s">
        <v>17</v>
      </c>
      <c r="B17" s="4">
        <v>6.00412318E8</v>
      </c>
      <c r="C17" s="1" t="s">
        <v>58</v>
      </c>
      <c r="D17" s="1" t="s">
        <v>128</v>
      </c>
      <c r="E17" s="1">
        <v>5.0</v>
      </c>
      <c r="F17" s="1" t="s">
        <v>20</v>
      </c>
      <c r="G17" s="6" t="s">
        <v>21</v>
      </c>
      <c r="I17" s="1" t="s">
        <v>22</v>
      </c>
      <c r="J17" s="1"/>
      <c r="K17" s="1" t="s">
        <v>22</v>
      </c>
      <c r="L17" s="1">
        <v>0.0</v>
      </c>
      <c r="M17" s="1" t="s">
        <v>22</v>
      </c>
      <c r="N17" s="1">
        <v>2.0</v>
      </c>
      <c r="O17" s="1" t="s">
        <v>22</v>
      </c>
      <c r="P17" s="1">
        <v>3.0</v>
      </c>
      <c r="Q17" s="3">
        <f t="shared" si="2"/>
        <v>300</v>
      </c>
    </row>
    <row r="18" ht="15.75" customHeight="1">
      <c r="A18" s="1" t="s">
        <v>17</v>
      </c>
      <c r="B18" s="4">
        <v>6.00411048E8</v>
      </c>
      <c r="C18" s="1" t="s">
        <v>129</v>
      </c>
      <c r="D18" s="1" t="s">
        <v>130</v>
      </c>
      <c r="E18" s="1">
        <v>5.0</v>
      </c>
      <c r="F18" s="1" t="s">
        <v>20</v>
      </c>
      <c r="G18" s="6" t="s">
        <v>21</v>
      </c>
      <c r="I18" s="1" t="s">
        <v>22</v>
      </c>
      <c r="J18" s="1"/>
      <c r="K18" s="1" t="s">
        <v>22</v>
      </c>
      <c r="L18" s="1">
        <v>0.0</v>
      </c>
      <c r="M18" s="1" t="s">
        <v>22</v>
      </c>
      <c r="N18" s="1">
        <v>0.0</v>
      </c>
      <c r="O18" s="1" t="s">
        <v>22</v>
      </c>
      <c r="P18" s="1">
        <v>3.0</v>
      </c>
      <c r="Q18" s="3">
        <f t="shared" si="2"/>
        <v>300</v>
      </c>
    </row>
    <row r="19" ht="15.75" customHeight="1">
      <c r="A19" s="1" t="s">
        <v>17</v>
      </c>
      <c r="B19" s="4">
        <v>6.00412694E8</v>
      </c>
      <c r="C19" s="1" t="s">
        <v>131</v>
      </c>
      <c r="D19" s="1" t="s">
        <v>132</v>
      </c>
      <c r="E19" s="1">
        <v>5.0</v>
      </c>
      <c r="F19" s="1" t="s">
        <v>20</v>
      </c>
      <c r="G19" s="6" t="s">
        <v>33</v>
      </c>
      <c r="I19" s="1" t="s">
        <v>22</v>
      </c>
      <c r="J19" s="1"/>
      <c r="K19" s="1" t="s">
        <v>22</v>
      </c>
      <c r="L19" s="1">
        <v>0.0</v>
      </c>
      <c r="M19" s="1" t="s">
        <v>22</v>
      </c>
      <c r="N19" s="1">
        <v>3.0</v>
      </c>
      <c r="O19" s="1" t="s">
        <v>22</v>
      </c>
      <c r="P19" s="1">
        <v>3.0</v>
      </c>
      <c r="Q19" s="3">
        <f t="shared" si="2"/>
        <v>300</v>
      </c>
    </row>
    <row r="20" ht="15.75" customHeight="1">
      <c r="A20" s="1" t="s">
        <v>17</v>
      </c>
      <c r="B20" s="4">
        <v>6.00411623E8</v>
      </c>
      <c r="C20" s="1" t="s">
        <v>133</v>
      </c>
      <c r="D20" s="1" t="s">
        <v>134</v>
      </c>
      <c r="E20" s="1">
        <v>6.0</v>
      </c>
      <c r="F20" s="1" t="s">
        <v>20</v>
      </c>
      <c r="G20" s="6" t="s">
        <v>33</v>
      </c>
      <c r="I20" s="1" t="s">
        <v>22</v>
      </c>
      <c r="J20" s="1"/>
      <c r="K20" s="1" t="s">
        <v>22</v>
      </c>
      <c r="L20" s="1">
        <v>0.0</v>
      </c>
      <c r="M20" s="1" t="s">
        <v>22</v>
      </c>
      <c r="N20" s="1">
        <v>6.0</v>
      </c>
      <c r="O20" s="1" t="s">
        <v>23</v>
      </c>
      <c r="P20" s="1">
        <f t="shared" ref="P20:P34" si="3">COUNTIF(I20:O20, "✔️")</f>
        <v>3</v>
      </c>
      <c r="Q20" s="3">
        <f t="shared" si="2"/>
        <v>300</v>
      </c>
    </row>
    <row r="21" ht="15.75" customHeight="1">
      <c r="I21" s="1"/>
      <c r="J21" s="1"/>
      <c r="K21" s="1"/>
      <c r="L21" s="1"/>
      <c r="M21" s="1"/>
      <c r="N21" s="1"/>
      <c r="O21" s="1"/>
      <c r="P21" s="1">
        <f t="shared" si="3"/>
        <v>0</v>
      </c>
      <c r="Q21" s="3">
        <f t="shared" si="2"/>
        <v>0</v>
      </c>
    </row>
    <row r="22" ht="15.75" customHeight="1">
      <c r="I22" s="1"/>
      <c r="J22" s="1"/>
      <c r="K22" s="1"/>
      <c r="L22" s="1"/>
      <c r="M22" s="1"/>
      <c r="N22" s="1"/>
      <c r="O22" s="1"/>
      <c r="P22" s="1">
        <f t="shared" si="3"/>
        <v>0</v>
      </c>
      <c r="Q22" s="3">
        <f t="shared" si="2"/>
        <v>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3"/>
        <v>0</v>
      </c>
      <c r="Q23" s="3">
        <f t="shared" si="2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3"/>
        <v>0</v>
      </c>
      <c r="Q24" s="3">
        <f t="shared" si="2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3"/>
        <v>0</v>
      </c>
      <c r="Q25" s="3">
        <f t="shared" si="2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3"/>
        <v>0</v>
      </c>
      <c r="Q26" s="3">
        <f t="shared" si="2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3"/>
        <v>0</v>
      </c>
      <c r="Q27" s="3">
        <f t="shared" si="2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3"/>
        <v>0</v>
      </c>
      <c r="Q28" s="3">
        <f t="shared" si="2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3"/>
        <v>0</v>
      </c>
      <c r="Q29" s="3">
        <f t="shared" si="2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3"/>
        <v>0</v>
      </c>
      <c r="Q30" s="3">
        <f t="shared" si="2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3"/>
        <v>0</v>
      </c>
      <c r="Q31" s="3">
        <f t="shared" si="2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3"/>
        <v>0</v>
      </c>
      <c r="Q32" s="3">
        <f t="shared" si="2"/>
        <v>0</v>
      </c>
    </row>
    <row r="33" ht="15.75" customHeight="1">
      <c r="I33" s="1"/>
      <c r="J33" s="1"/>
      <c r="K33" s="1"/>
      <c r="L33" s="1"/>
      <c r="M33" s="1"/>
      <c r="N33" s="1"/>
      <c r="O33" s="1"/>
      <c r="P33" s="1">
        <f t="shared" si="3"/>
        <v>0</v>
      </c>
      <c r="Q33" s="3">
        <f t="shared" si="2"/>
        <v>0</v>
      </c>
    </row>
    <row r="34" ht="15.75" customHeight="1">
      <c r="I34" s="1"/>
      <c r="J34" s="1"/>
      <c r="K34" s="1"/>
      <c r="L34" s="1"/>
      <c r="M34" s="1"/>
      <c r="N34" s="1"/>
      <c r="O34" s="1"/>
      <c r="P34" s="1">
        <f t="shared" si="3"/>
        <v>0</v>
      </c>
      <c r="Q34" s="3">
        <f t="shared" si="2"/>
        <v>0</v>
      </c>
    </row>
    <row r="35" ht="15.75" customHeight="1">
      <c r="I35" s="1">
        <f t="shared" ref="I35:K35" si="4">COUNTIF(I2:I34, "✔️")</f>
        <v>19</v>
      </c>
      <c r="J35" s="1">
        <f t="shared" si="4"/>
        <v>0</v>
      </c>
      <c r="K35" s="1">
        <f t="shared" si="4"/>
        <v>15</v>
      </c>
      <c r="L35" s="1"/>
      <c r="M35" s="1">
        <f>COUNTIF(M2:M34, "✔️")</f>
        <v>18</v>
      </c>
      <c r="N35" s="1"/>
      <c r="O35" s="1">
        <f>COUNTIF(O2:O34, "✔️")</f>
        <v>10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4">
    <cfRule type="notContainsBlanks" dxfId="0" priority="1">
      <formula>LEN(TRIM(I2))&gt;0</formula>
    </cfRule>
  </conditionalFormatting>
  <conditionalFormatting sqref="Q2:Q34">
    <cfRule type="notContainsBlanks" dxfId="0" priority="2">
      <formula>LEN(TRIM(Q2))&gt;0</formula>
    </cfRule>
  </conditionalFormatting>
  <dataValidations>
    <dataValidation type="list" allowBlank="1" showErrorMessage="1" sqref="I2:K34 M2:M34 O2:O34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135</v>
      </c>
      <c r="B2" s="4">
        <v>6.00409921E8</v>
      </c>
      <c r="C2" s="1" t="s">
        <v>136</v>
      </c>
      <c r="D2" s="1" t="s">
        <v>137</v>
      </c>
      <c r="E2" s="1">
        <v>6.0</v>
      </c>
      <c r="F2" s="1" t="s">
        <v>55</v>
      </c>
      <c r="G2" s="4" t="s">
        <v>21</v>
      </c>
      <c r="I2" s="1" t="s">
        <v>22</v>
      </c>
      <c r="J2" s="1"/>
      <c r="K2" s="1" t="s">
        <v>22</v>
      </c>
      <c r="L2" s="1">
        <v>0.0</v>
      </c>
      <c r="M2" s="1" t="s">
        <v>22</v>
      </c>
      <c r="N2" s="1">
        <v>7.0</v>
      </c>
      <c r="O2" s="1" t="s">
        <v>23</v>
      </c>
      <c r="P2" s="1">
        <v>3.0</v>
      </c>
      <c r="Q2" s="3">
        <f t="shared" ref="Q2:Q30" si="1">IF(P2=1, 100, IF(P2=2, 200, IF(P2=3, 300, 0)))</f>
        <v>300</v>
      </c>
    </row>
    <row r="3" ht="15.75" customHeight="1">
      <c r="A3" s="1" t="s">
        <v>135</v>
      </c>
      <c r="B3" s="4">
        <v>6.00411406E8</v>
      </c>
      <c r="C3" s="1" t="s">
        <v>138</v>
      </c>
      <c r="D3" s="1" t="s">
        <v>139</v>
      </c>
      <c r="E3" s="1">
        <v>6.0</v>
      </c>
      <c r="F3" s="5" t="s">
        <v>20</v>
      </c>
      <c r="G3" s="4" t="s">
        <v>21</v>
      </c>
      <c r="I3" s="1" t="s">
        <v>22</v>
      </c>
      <c r="J3" s="1"/>
      <c r="K3" s="1" t="s">
        <v>23</v>
      </c>
      <c r="L3" s="1">
        <v>0.0</v>
      </c>
      <c r="M3" s="1" t="s">
        <v>22</v>
      </c>
      <c r="N3" s="1">
        <v>3.0</v>
      </c>
      <c r="O3" s="1" t="s">
        <v>22</v>
      </c>
      <c r="P3" s="1">
        <v>3.0</v>
      </c>
      <c r="Q3" s="3">
        <f t="shared" si="1"/>
        <v>300</v>
      </c>
    </row>
    <row r="4" ht="15.75" customHeight="1">
      <c r="A4" s="1" t="s">
        <v>135</v>
      </c>
      <c r="B4" s="4">
        <v>6.00408506E8</v>
      </c>
      <c r="C4" s="1" t="s">
        <v>69</v>
      </c>
      <c r="D4" s="1" t="s">
        <v>140</v>
      </c>
      <c r="E4" s="1">
        <v>6.0</v>
      </c>
      <c r="F4" s="1" t="s">
        <v>20</v>
      </c>
      <c r="G4" s="4" t="s">
        <v>33</v>
      </c>
      <c r="I4" s="1" t="s">
        <v>22</v>
      </c>
      <c r="J4" s="1"/>
      <c r="K4" s="1" t="s">
        <v>22</v>
      </c>
      <c r="L4" s="1"/>
      <c r="M4" s="1" t="s">
        <v>22</v>
      </c>
      <c r="N4" s="1"/>
      <c r="O4" s="1"/>
      <c r="P4" s="1">
        <v>3.0</v>
      </c>
      <c r="Q4" s="3">
        <f t="shared" si="1"/>
        <v>300</v>
      </c>
    </row>
    <row r="5" ht="15.75" customHeight="1">
      <c r="A5" s="1" t="s">
        <v>135</v>
      </c>
      <c r="B5" s="4">
        <v>6.00411321E8</v>
      </c>
      <c r="C5" s="1" t="s">
        <v>141</v>
      </c>
      <c r="D5" s="1" t="s">
        <v>142</v>
      </c>
      <c r="E5" s="1">
        <v>6.0</v>
      </c>
      <c r="F5" s="5" t="s">
        <v>20</v>
      </c>
      <c r="G5" s="4" t="s">
        <v>21</v>
      </c>
      <c r="I5" s="1" t="s">
        <v>22</v>
      </c>
      <c r="J5" s="1"/>
      <c r="K5" s="1" t="s">
        <v>22</v>
      </c>
      <c r="L5" s="1">
        <v>2.0</v>
      </c>
      <c r="M5" s="1" t="s">
        <v>22</v>
      </c>
      <c r="N5" s="1">
        <v>2.0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135</v>
      </c>
      <c r="B6" s="4">
        <v>6.0040902E8</v>
      </c>
      <c r="C6" s="1" t="s">
        <v>143</v>
      </c>
      <c r="D6" s="1" t="s">
        <v>144</v>
      </c>
      <c r="E6" s="1">
        <v>7.0</v>
      </c>
      <c r="F6" s="1" t="s">
        <v>20</v>
      </c>
      <c r="G6" s="4" t="s">
        <v>21</v>
      </c>
      <c r="I6" s="1" t="s">
        <v>22</v>
      </c>
      <c r="J6" s="1"/>
      <c r="K6" s="1" t="s">
        <v>22</v>
      </c>
      <c r="L6" s="1">
        <v>0.0</v>
      </c>
      <c r="M6" s="1" t="s">
        <v>22</v>
      </c>
      <c r="N6" s="1">
        <v>1.0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1" t="s">
        <v>135</v>
      </c>
      <c r="B7" s="4">
        <v>6.00411574E8</v>
      </c>
      <c r="C7" s="1" t="s">
        <v>145</v>
      </c>
      <c r="D7" s="1" t="s">
        <v>146</v>
      </c>
      <c r="E7" s="1">
        <v>6.0</v>
      </c>
      <c r="F7" s="1" t="s">
        <v>20</v>
      </c>
      <c r="G7" s="4" t="s">
        <v>21</v>
      </c>
      <c r="I7" s="1" t="s">
        <v>22</v>
      </c>
      <c r="J7" s="1"/>
      <c r="K7" s="1" t="s">
        <v>22</v>
      </c>
      <c r="L7" s="1">
        <v>0.0</v>
      </c>
      <c r="M7" s="1" t="s">
        <v>22</v>
      </c>
      <c r="N7" s="1">
        <v>5.0</v>
      </c>
      <c r="O7" s="1" t="s">
        <v>23</v>
      </c>
      <c r="P7" s="1">
        <v>3.0</v>
      </c>
      <c r="Q7" s="3">
        <f t="shared" si="1"/>
        <v>300</v>
      </c>
    </row>
    <row r="8" ht="15.75" customHeight="1">
      <c r="A8" s="1" t="s">
        <v>135</v>
      </c>
      <c r="B8" s="4">
        <v>6.00411433E8</v>
      </c>
      <c r="C8" s="1" t="s">
        <v>147</v>
      </c>
      <c r="D8" s="1" t="s">
        <v>148</v>
      </c>
      <c r="E8" s="1">
        <v>6.0</v>
      </c>
      <c r="F8" s="1" t="s">
        <v>149</v>
      </c>
      <c r="G8" s="4" t="s">
        <v>21</v>
      </c>
      <c r="I8" s="1" t="s">
        <v>22</v>
      </c>
      <c r="J8" s="1"/>
      <c r="K8" s="1" t="s">
        <v>23</v>
      </c>
      <c r="L8" s="1">
        <v>3.0</v>
      </c>
      <c r="M8" s="1" t="s">
        <v>23</v>
      </c>
      <c r="N8" s="1">
        <v>6.0</v>
      </c>
      <c r="O8" s="1" t="s">
        <v>23</v>
      </c>
      <c r="P8" s="1">
        <v>1.0</v>
      </c>
      <c r="Q8" s="3">
        <f t="shared" si="1"/>
        <v>100</v>
      </c>
    </row>
    <row r="9" ht="15.75" customHeight="1">
      <c r="A9" s="1" t="s">
        <v>135</v>
      </c>
      <c r="B9" s="4">
        <v>6.00412038E8</v>
      </c>
      <c r="C9" s="1" t="s">
        <v>150</v>
      </c>
      <c r="D9" s="1" t="s">
        <v>151</v>
      </c>
      <c r="E9" s="1">
        <v>6.0</v>
      </c>
      <c r="F9" s="1" t="s">
        <v>152</v>
      </c>
      <c r="G9" s="4" t="s">
        <v>33</v>
      </c>
      <c r="I9" s="1" t="s">
        <v>22</v>
      </c>
      <c r="J9" s="1"/>
      <c r="K9" s="1" t="s">
        <v>22</v>
      </c>
      <c r="L9" s="1">
        <v>0.0</v>
      </c>
      <c r="M9" s="1" t="s">
        <v>22</v>
      </c>
      <c r="N9" s="1">
        <v>8.0</v>
      </c>
      <c r="O9" s="1" t="s">
        <v>23</v>
      </c>
      <c r="P9" s="1">
        <v>3.0</v>
      </c>
      <c r="Q9" s="3">
        <f t="shared" si="1"/>
        <v>300</v>
      </c>
    </row>
    <row r="10" ht="15.75" customHeight="1">
      <c r="A10" s="1" t="s">
        <v>135</v>
      </c>
      <c r="B10" s="4">
        <v>6.00412039E8</v>
      </c>
      <c r="C10" s="1" t="s">
        <v>150</v>
      </c>
      <c r="D10" s="1" t="s">
        <v>153</v>
      </c>
      <c r="E10" s="1">
        <v>6.0</v>
      </c>
      <c r="F10" s="1" t="s">
        <v>152</v>
      </c>
      <c r="G10" s="4" t="s">
        <v>21</v>
      </c>
      <c r="I10" s="1" t="s">
        <v>22</v>
      </c>
      <c r="J10" s="1"/>
      <c r="K10" s="1" t="s">
        <v>22</v>
      </c>
      <c r="L10" s="1">
        <v>0.0</v>
      </c>
      <c r="M10" s="1" t="s">
        <v>22</v>
      </c>
      <c r="N10" s="1">
        <v>6.0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135</v>
      </c>
      <c r="B11" s="4">
        <v>6.00410689E8</v>
      </c>
      <c r="C11" s="1" t="s">
        <v>51</v>
      </c>
      <c r="D11" s="1" t="s">
        <v>154</v>
      </c>
      <c r="E11" s="1">
        <v>7.0</v>
      </c>
      <c r="F11" s="1" t="s">
        <v>20</v>
      </c>
      <c r="G11" s="4" t="s">
        <v>33</v>
      </c>
      <c r="I11" s="1" t="s">
        <v>22</v>
      </c>
      <c r="J11" s="1"/>
      <c r="K11" s="1" t="s">
        <v>22</v>
      </c>
      <c r="L11" s="1">
        <v>0.0</v>
      </c>
      <c r="M11" s="1" t="s">
        <v>22</v>
      </c>
      <c r="N11" s="1">
        <v>1.0</v>
      </c>
      <c r="O11" s="1" t="s">
        <v>22</v>
      </c>
      <c r="P11" s="1">
        <v>3.0</v>
      </c>
      <c r="Q11" s="3">
        <f t="shared" si="1"/>
        <v>300</v>
      </c>
    </row>
    <row r="12" ht="15.75" customHeight="1">
      <c r="A12" s="1" t="s">
        <v>135</v>
      </c>
      <c r="B12" s="4">
        <v>6.00410535E8</v>
      </c>
      <c r="C12" s="1" t="s">
        <v>155</v>
      </c>
      <c r="D12" s="1" t="s">
        <v>156</v>
      </c>
      <c r="E12" s="1">
        <v>6.0</v>
      </c>
      <c r="F12" s="1" t="s">
        <v>157</v>
      </c>
      <c r="G12" s="4" t="s">
        <v>33</v>
      </c>
      <c r="I12" s="1" t="s">
        <v>22</v>
      </c>
      <c r="J12" s="1"/>
      <c r="K12" s="1" t="s">
        <v>22</v>
      </c>
      <c r="L12" s="1">
        <v>0.0</v>
      </c>
      <c r="M12" s="1" t="s">
        <v>22</v>
      </c>
      <c r="N12" s="1">
        <v>5.0</v>
      </c>
      <c r="O12" s="1" t="s">
        <v>23</v>
      </c>
      <c r="P12" s="1">
        <v>3.0</v>
      </c>
      <c r="Q12" s="3">
        <f t="shared" si="1"/>
        <v>300</v>
      </c>
    </row>
    <row r="13" ht="15.75" customHeight="1">
      <c r="A13" s="1" t="s">
        <v>135</v>
      </c>
      <c r="B13" s="4">
        <v>6.00410705E8</v>
      </c>
      <c r="C13" s="1" t="s">
        <v>158</v>
      </c>
      <c r="D13" s="1" t="s">
        <v>159</v>
      </c>
      <c r="E13" s="1">
        <v>6.0</v>
      </c>
      <c r="F13" s="1" t="s">
        <v>20</v>
      </c>
      <c r="G13" s="4" t="s">
        <v>33</v>
      </c>
      <c r="I13" s="1" t="s">
        <v>22</v>
      </c>
      <c r="J13" s="1"/>
      <c r="K13" s="1" t="s">
        <v>22</v>
      </c>
      <c r="L13" s="1">
        <v>0.0</v>
      </c>
      <c r="M13" s="1" t="s">
        <v>22</v>
      </c>
      <c r="N13" s="1">
        <v>12.0</v>
      </c>
      <c r="O13" s="1" t="s">
        <v>23</v>
      </c>
      <c r="P13" s="1">
        <v>3.0</v>
      </c>
      <c r="Q13" s="3">
        <f t="shared" si="1"/>
        <v>300</v>
      </c>
    </row>
    <row r="14" ht="15.75" customHeight="1">
      <c r="A14" s="1" t="s">
        <v>135</v>
      </c>
      <c r="B14" s="4">
        <v>6.00411434E8</v>
      </c>
      <c r="C14" s="1" t="s">
        <v>160</v>
      </c>
      <c r="D14" s="1" t="s">
        <v>161</v>
      </c>
      <c r="E14" s="1">
        <v>7.0</v>
      </c>
      <c r="F14" s="1" t="s">
        <v>55</v>
      </c>
      <c r="G14" s="4" t="s">
        <v>33</v>
      </c>
      <c r="I14" s="1" t="s">
        <v>22</v>
      </c>
      <c r="J14" s="1"/>
      <c r="K14" s="1" t="s">
        <v>22</v>
      </c>
      <c r="L14" s="1">
        <v>0.0</v>
      </c>
      <c r="M14" s="1" t="s">
        <v>22</v>
      </c>
      <c r="N14" s="1">
        <v>5.0</v>
      </c>
      <c r="O14" s="1" t="s">
        <v>23</v>
      </c>
      <c r="P14" s="1">
        <v>3.0</v>
      </c>
      <c r="Q14" s="3">
        <f t="shared" si="1"/>
        <v>300</v>
      </c>
    </row>
    <row r="15" ht="15.75" customHeight="1">
      <c r="A15" s="1" t="s">
        <v>135</v>
      </c>
      <c r="B15" s="4">
        <v>6.00411388E8</v>
      </c>
      <c r="C15" s="1" t="s">
        <v>162</v>
      </c>
      <c r="D15" s="1" t="s">
        <v>163</v>
      </c>
      <c r="E15" s="1">
        <v>6.0</v>
      </c>
      <c r="F15" s="1" t="s">
        <v>20</v>
      </c>
      <c r="G15" s="4" t="s">
        <v>33</v>
      </c>
      <c r="I15" s="1" t="s">
        <v>22</v>
      </c>
      <c r="J15" s="1"/>
      <c r="K15" s="1" t="s">
        <v>22</v>
      </c>
      <c r="L15" s="1">
        <v>4.0</v>
      </c>
      <c r="M15" s="1" t="s">
        <v>22</v>
      </c>
      <c r="N15" s="1">
        <v>6.0</v>
      </c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135</v>
      </c>
      <c r="B16" s="4">
        <v>6.00410083E8</v>
      </c>
      <c r="C16" s="1" t="s">
        <v>164</v>
      </c>
      <c r="D16" s="1" t="s">
        <v>165</v>
      </c>
      <c r="E16" s="1">
        <v>7.0</v>
      </c>
      <c r="F16" s="1" t="s">
        <v>42</v>
      </c>
      <c r="G16" s="4" t="s">
        <v>21</v>
      </c>
      <c r="I16" s="1" t="s">
        <v>22</v>
      </c>
      <c r="J16" s="1"/>
      <c r="K16" s="1" t="s">
        <v>22</v>
      </c>
      <c r="L16" s="1">
        <v>0.0</v>
      </c>
      <c r="M16" s="1" t="s">
        <v>22</v>
      </c>
      <c r="N16" s="1">
        <v>3.0</v>
      </c>
      <c r="O16" s="1" t="s">
        <v>22</v>
      </c>
      <c r="P16" s="1">
        <v>3.0</v>
      </c>
      <c r="Q16" s="3">
        <f t="shared" si="1"/>
        <v>300</v>
      </c>
    </row>
    <row r="17" ht="15.75" customHeight="1">
      <c r="A17" s="1" t="s">
        <v>135</v>
      </c>
      <c r="B17" s="4">
        <v>6.00411727E8</v>
      </c>
      <c r="C17" s="1" t="s">
        <v>166</v>
      </c>
      <c r="D17" s="1" t="s">
        <v>167</v>
      </c>
      <c r="E17" s="1">
        <v>7.0</v>
      </c>
      <c r="F17" s="1" t="s">
        <v>20</v>
      </c>
      <c r="G17" s="4" t="s">
        <v>33</v>
      </c>
      <c r="I17" s="1" t="s">
        <v>22</v>
      </c>
      <c r="J17" s="1"/>
      <c r="K17" s="1" t="s">
        <v>22</v>
      </c>
      <c r="L17" s="1">
        <v>0.0</v>
      </c>
      <c r="M17" s="1" t="s">
        <v>22</v>
      </c>
      <c r="N17" s="1">
        <v>14.0</v>
      </c>
      <c r="O17" s="1" t="s">
        <v>23</v>
      </c>
      <c r="P17" s="1">
        <v>3.0</v>
      </c>
      <c r="Q17" s="3">
        <f t="shared" si="1"/>
        <v>300</v>
      </c>
    </row>
    <row r="18" ht="15.75" customHeight="1">
      <c r="A18" s="1" t="s">
        <v>135</v>
      </c>
      <c r="B18" s="4">
        <v>6.00408526E8</v>
      </c>
      <c r="C18" s="1" t="s">
        <v>168</v>
      </c>
      <c r="D18" s="1" t="s">
        <v>125</v>
      </c>
      <c r="E18" s="1">
        <v>7.0</v>
      </c>
      <c r="F18" s="1" t="s">
        <v>20</v>
      </c>
      <c r="G18" s="4" t="s">
        <v>33</v>
      </c>
      <c r="I18" s="1" t="s">
        <v>22</v>
      </c>
      <c r="J18" s="1"/>
      <c r="K18" s="1" t="s">
        <v>22</v>
      </c>
      <c r="L18" s="1">
        <v>0.0</v>
      </c>
      <c r="M18" s="1" t="s">
        <v>22</v>
      </c>
      <c r="N18" s="1">
        <v>1.0</v>
      </c>
      <c r="O18" s="1" t="s">
        <v>22</v>
      </c>
      <c r="P18" s="1">
        <v>3.0</v>
      </c>
      <c r="Q18" s="3">
        <f t="shared" si="1"/>
        <v>300</v>
      </c>
    </row>
    <row r="19" ht="15.75" customHeight="1">
      <c r="A19" s="1" t="s">
        <v>135</v>
      </c>
      <c r="B19" s="4">
        <v>6.0041122E8</v>
      </c>
      <c r="C19" s="1" t="s">
        <v>169</v>
      </c>
      <c r="D19" s="1" t="s">
        <v>87</v>
      </c>
      <c r="E19" s="1">
        <v>6.0</v>
      </c>
      <c r="F19" s="1" t="s">
        <v>55</v>
      </c>
      <c r="G19" s="4" t="s">
        <v>21</v>
      </c>
      <c r="I19" s="1" t="s">
        <v>22</v>
      </c>
      <c r="J19" s="1"/>
      <c r="K19" s="1" t="s">
        <v>22</v>
      </c>
      <c r="L19" s="1">
        <v>0.0</v>
      </c>
      <c r="M19" s="1" t="s">
        <v>22</v>
      </c>
      <c r="N19" s="1">
        <v>3.0</v>
      </c>
      <c r="O19" s="1" t="s">
        <v>22</v>
      </c>
      <c r="P19" s="1">
        <v>3.0</v>
      </c>
      <c r="Q19" s="3">
        <f t="shared" si="1"/>
        <v>300</v>
      </c>
    </row>
    <row r="20" ht="15.75" customHeight="1">
      <c r="A20" s="1" t="s">
        <v>135</v>
      </c>
      <c r="B20" s="4">
        <v>6.00409873E8</v>
      </c>
      <c r="C20" s="1" t="s">
        <v>170</v>
      </c>
      <c r="D20" s="1" t="s">
        <v>171</v>
      </c>
      <c r="E20" s="1">
        <v>6.0</v>
      </c>
      <c r="F20" s="1" t="s">
        <v>55</v>
      </c>
      <c r="G20" s="4" t="s">
        <v>33</v>
      </c>
      <c r="I20" s="1" t="s">
        <v>22</v>
      </c>
      <c r="J20" s="1"/>
      <c r="K20" s="1" t="s">
        <v>22</v>
      </c>
      <c r="L20" s="1">
        <v>6.0</v>
      </c>
      <c r="M20" s="1" t="s">
        <v>23</v>
      </c>
      <c r="N20" s="1">
        <v>7.0</v>
      </c>
      <c r="O20" s="1" t="s">
        <v>23</v>
      </c>
      <c r="P20" s="1">
        <v>2.0</v>
      </c>
      <c r="Q20" s="3">
        <f t="shared" si="1"/>
        <v>200</v>
      </c>
    </row>
    <row r="21" ht="15.75" customHeight="1">
      <c r="I21" s="1"/>
      <c r="J21" s="1"/>
      <c r="K21" s="1"/>
      <c r="L21" s="1"/>
      <c r="M21" s="1"/>
      <c r="N21" s="1"/>
      <c r="O21" s="1"/>
      <c r="P21" s="1">
        <f t="shared" ref="P21:P30" si="2">COUNTIF(I21:O21, "✔️")</f>
        <v>0</v>
      </c>
      <c r="Q21" s="3">
        <f t="shared" si="1"/>
        <v>0</v>
      </c>
    </row>
    <row r="22" ht="15.75" customHeight="1">
      <c r="I22" s="1"/>
      <c r="J22" s="1"/>
      <c r="K22" s="1"/>
      <c r="L22" s="1"/>
      <c r="M22" s="1"/>
      <c r="N22" s="1"/>
      <c r="O22" s="1"/>
      <c r="P22" s="1">
        <f t="shared" si="2"/>
        <v>0</v>
      </c>
      <c r="Q22" s="3">
        <f t="shared" si="1"/>
        <v>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2"/>
        <v>0</v>
      </c>
      <c r="Q23" s="3">
        <f t="shared" si="1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2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>
        <f t="shared" ref="I31:K31" si="3">COUNTIF(I2:I30, "✔️")</f>
        <v>19</v>
      </c>
      <c r="J31" s="1">
        <f t="shared" si="3"/>
        <v>0</v>
      </c>
      <c r="K31" s="1">
        <f t="shared" si="3"/>
        <v>17</v>
      </c>
      <c r="L31" s="1"/>
      <c r="M31" s="1">
        <f>COUNTIF(M2:M30, "✔️")</f>
        <v>17</v>
      </c>
      <c r="N31" s="1"/>
      <c r="O31" s="1">
        <f>COUNTIF(O2:O30, "✔️")</f>
        <v>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0">
    <cfRule type="notContainsBlanks" dxfId="0" priority="1">
      <formula>LEN(TRIM(I2))&gt;0</formula>
    </cfRule>
  </conditionalFormatting>
  <conditionalFormatting sqref="Q2:Q30">
    <cfRule type="notContainsBlanks" dxfId="0" priority="2">
      <formula>LEN(TRIM(Q2))&gt;0</formula>
    </cfRule>
  </conditionalFormatting>
  <dataValidations>
    <dataValidation type="list" allowBlank="1" showErrorMessage="1" sqref="I2:K30 M2:M30 O2:O30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172</v>
      </c>
      <c r="B1" s="1" t="s">
        <v>1</v>
      </c>
      <c r="C1" s="1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135</v>
      </c>
      <c r="B2" s="4">
        <v>6.00409929E8</v>
      </c>
      <c r="C2" s="1" t="s">
        <v>136</v>
      </c>
      <c r="D2" s="1" t="s">
        <v>173</v>
      </c>
      <c r="E2" s="1">
        <v>6.0</v>
      </c>
      <c r="F2" s="1" t="s">
        <v>20</v>
      </c>
      <c r="G2" s="4" t="s">
        <v>33</v>
      </c>
      <c r="I2" s="1" t="s">
        <v>22</v>
      </c>
      <c r="J2" s="1"/>
      <c r="K2" s="1" t="s">
        <v>22</v>
      </c>
      <c r="L2" s="1"/>
      <c r="M2" s="1" t="s">
        <v>22</v>
      </c>
      <c r="N2" s="1">
        <v>2.0</v>
      </c>
      <c r="O2" s="1" t="s">
        <v>22</v>
      </c>
      <c r="P2" s="1">
        <v>3.0</v>
      </c>
      <c r="Q2" s="3">
        <f t="shared" ref="Q2:Q31" si="1">IF(P2=1, 100, IF(P2=2, 200, IF(P2=3, 300, 0)))</f>
        <v>300</v>
      </c>
    </row>
    <row r="3" ht="15.75" customHeight="1">
      <c r="A3" s="1" t="s">
        <v>135</v>
      </c>
      <c r="B3" s="4">
        <v>6.00411674E8</v>
      </c>
      <c r="C3" s="1" t="s">
        <v>174</v>
      </c>
      <c r="D3" s="1" t="s">
        <v>175</v>
      </c>
      <c r="E3" s="1">
        <v>6.0</v>
      </c>
      <c r="F3" s="1" t="s">
        <v>20</v>
      </c>
      <c r="G3" s="4" t="s">
        <v>21</v>
      </c>
      <c r="I3" s="1" t="s">
        <v>22</v>
      </c>
      <c r="J3" s="1"/>
      <c r="K3" s="1" t="s">
        <v>22</v>
      </c>
      <c r="L3" s="1"/>
      <c r="M3" s="1" t="s">
        <v>22</v>
      </c>
      <c r="N3" s="1">
        <v>6.0</v>
      </c>
      <c r="O3" s="1" t="s">
        <v>23</v>
      </c>
      <c r="P3" s="1">
        <f t="shared" ref="P3:P5" si="2">COUNTIF(I3:O3, "✔️")</f>
        <v>3</v>
      </c>
      <c r="Q3" s="3">
        <f t="shared" si="1"/>
        <v>300</v>
      </c>
    </row>
    <row r="4" ht="15.75" customHeight="1">
      <c r="A4" s="1" t="s">
        <v>135</v>
      </c>
      <c r="B4" s="4">
        <v>6.00409019E8</v>
      </c>
      <c r="C4" s="1" t="s">
        <v>69</v>
      </c>
      <c r="D4" s="1" t="s">
        <v>176</v>
      </c>
      <c r="E4" s="1">
        <v>6.0</v>
      </c>
      <c r="F4" s="1" t="s">
        <v>20</v>
      </c>
      <c r="G4" s="4" t="s">
        <v>21</v>
      </c>
      <c r="I4" s="1" t="s">
        <v>22</v>
      </c>
      <c r="J4" s="1"/>
      <c r="K4" s="1" t="s">
        <v>22</v>
      </c>
      <c r="L4" s="1"/>
      <c r="M4" s="1" t="s">
        <v>23</v>
      </c>
      <c r="N4" s="1">
        <v>4.0</v>
      </c>
      <c r="O4" s="1" t="s">
        <v>23</v>
      </c>
      <c r="P4" s="1">
        <f t="shared" si="2"/>
        <v>2</v>
      </c>
      <c r="Q4" s="3">
        <f t="shared" si="1"/>
        <v>200</v>
      </c>
    </row>
    <row r="5" ht="15.75" customHeight="1">
      <c r="A5" s="1" t="s">
        <v>135</v>
      </c>
      <c r="B5" s="4">
        <v>6.00408738E8</v>
      </c>
      <c r="C5" s="1" t="s">
        <v>69</v>
      </c>
      <c r="D5" s="1" t="s">
        <v>177</v>
      </c>
      <c r="E5" s="1">
        <v>6.0</v>
      </c>
      <c r="F5" s="1" t="s">
        <v>20</v>
      </c>
      <c r="G5" s="4" t="s">
        <v>33</v>
      </c>
      <c r="I5" s="1" t="s">
        <v>22</v>
      </c>
      <c r="J5" s="1"/>
      <c r="K5" s="1" t="s">
        <v>22</v>
      </c>
      <c r="L5" s="1"/>
      <c r="M5" s="1" t="s">
        <v>22</v>
      </c>
      <c r="N5" s="1">
        <v>4.0</v>
      </c>
      <c r="O5" s="1" t="s">
        <v>23</v>
      </c>
      <c r="P5" s="1">
        <f t="shared" si="2"/>
        <v>3</v>
      </c>
      <c r="Q5" s="3">
        <f t="shared" si="1"/>
        <v>300</v>
      </c>
    </row>
    <row r="6" ht="15.75" customHeight="1">
      <c r="A6" s="1" t="s">
        <v>135</v>
      </c>
      <c r="B6" s="4">
        <v>6.00411498E8</v>
      </c>
      <c r="C6" s="1" t="s">
        <v>35</v>
      </c>
      <c r="D6" s="1" t="s">
        <v>178</v>
      </c>
      <c r="E6" s="1">
        <v>6.0</v>
      </c>
      <c r="F6" s="1" t="s">
        <v>20</v>
      </c>
      <c r="G6" s="4" t="s">
        <v>21</v>
      </c>
      <c r="I6" s="1" t="s">
        <v>22</v>
      </c>
      <c r="J6" s="1"/>
      <c r="K6" s="1" t="s">
        <v>22</v>
      </c>
      <c r="L6" s="1"/>
      <c r="M6" s="1" t="s">
        <v>22</v>
      </c>
      <c r="N6" s="1">
        <v>1.0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1" t="s">
        <v>135</v>
      </c>
      <c r="B7" s="4">
        <v>6.00408507E8</v>
      </c>
      <c r="C7" s="1" t="s">
        <v>179</v>
      </c>
      <c r="D7" s="1" t="s">
        <v>180</v>
      </c>
      <c r="E7" s="1">
        <v>7.0</v>
      </c>
      <c r="F7" s="1" t="s">
        <v>20</v>
      </c>
      <c r="G7" s="4" t="s">
        <v>33</v>
      </c>
      <c r="I7" s="1" t="s">
        <v>22</v>
      </c>
      <c r="J7" s="1"/>
      <c r="K7" s="1" t="s">
        <v>22</v>
      </c>
      <c r="L7" s="1"/>
      <c r="M7" s="1" t="s">
        <v>22</v>
      </c>
      <c r="N7" s="1">
        <v>9.0</v>
      </c>
      <c r="O7" s="1" t="s">
        <v>23</v>
      </c>
      <c r="P7" s="1">
        <f t="shared" ref="P7:P14" si="3">COUNTIF(I7:O7, "✔️")</f>
        <v>3</v>
      </c>
      <c r="Q7" s="3">
        <f t="shared" si="1"/>
        <v>300</v>
      </c>
    </row>
    <row r="8" ht="15.75" customHeight="1">
      <c r="A8" s="1" t="s">
        <v>135</v>
      </c>
      <c r="B8" s="4">
        <v>6.00409035E8</v>
      </c>
      <c r="C8" s="1" t="s">
        <v>181</v>
      </c>
      <c r="D8" s="1" t="s">
        <v>182</v>
      </c>
      <c r="E8" s="1">
        <v>6.0</v>
      </c>
      <c r="F8" s="1" t="s">
        <v>20</v>
      </c>
      <c r="G8" s="4" t="s">
        <v>21</v>
      </c>
      <c r="I8" s="1" t="s">
        <v>22</v>
      </c>
      <c r="J8" s="1"/>
      <c r="K8" s="1" t="s">
        <v>22</v>
      </c>
      <c r="L8" s="1"/>
      <c r="M8" s="1" t="s">
        <v>23</v>
      </c>
      <c r="N8" s="1">
        <v>4.0</v>
      </c>
      <c r="O8" s="1" t="s">
        <v>23</v>
      </c>
      <c r="P8" s="1">
        <f t="shared" si="3"/>
        <v>2</v>
      </c>
      <c r="Q8" s="3">
        <f t="shared" si="1"/>
        <v>200</v>
      </c>
    </row>
    <row r="9" ht="15.75" customHeight="1">
      <c r="A9" s="1" t="s">
        <v>135</v>
      </c>
      <c r="B9" s="4">
        <v>6.0041277E8</v>
      </c>
      <c r="C9" s="1" t="s">
        <v>183</v>
      </c>
      <c r="D9" s="1" t="s">
        <v>184</v>
      </c>
      <c r="E9" s="1">
        <v>7.0</v>
      </c>
      <c r="F9" s="1" t="s">
        <v>20</v>
      </c>
      <c r="G9" s="4" t="s">
        <v>21</v>
      </c>
      <c r="I9" s="1" t="s">
        <v>22</v>
      </c>
      <c r="J9" s="1"/>
      <c r="K9" s="1" t="s">
        <v>22</v>
      </c>
      <c r="L9" s="1"/>
      <c r="M9" s="1" t="s">
        <v>22</v>
      </c>
      <c r="N9" s="1">
        <v>5.0</v>
      </c>
      <c r="O9" s="1" t="s">
        <v>23</v>
      </c>
      <c r="P9" s="1">
        <f t="shared" si="3"/>
        <v>3</v>
      </c>
      <c r="Q9" s="3">
        <f t="shared" si="1"/>
        <v>300</v>
      </c>
    </row>
    <row r="10" ht="15.75" customHeight="1">
      <c r="A10" s="1" t="s">
        <v>135</v>
      </c>
      <c r="B10" s="4">
        <v>6.00411232E8</v>
      </c>
      <c r="C10" s="1" t="s">
        <v>185</v>
      </c>
      <c r="D10" s="1" t="s">
        <v>186</v>
      </c>
      <c r="E10" s="1">
        <v>6.0</v>
      </c>
      <c r="F10" s="1" t="s">
        <v>20</v>
      </c>
      <c r="G10" s="4" t="s">
        <v>33</v>
      </c>
      <c r="I10" s="1" t="s">
        <v>22</v>
      </c>
      <c r="J10" s="1"/>
      <c r="K10" s="1" t="s">
        <v>22</v>
      </c>
      <c r="L10" s="1"/>
      <c r="M10" s="1" t="s">
        <v>22</v>
      </c>
      <c r="N10" s="1">
        <v>4.0</v>
      </c>
      <c r="O10" s="1" t="s">
        <v>23</v>
      </c>
      <c r="P10" s="1">
        <f t="shared" si="3"/>
        <v>3</v>
      </c>
      <c r="Q10" s="3">
        <f t="shared" si="1"/>
        <v>300</v>
      </c>
    </row>
    <row r="11" ht="15.75" customHeight="1">
      <c r="A11" s="1" t="s">
        <v>135</v>
      </c>
      <c r="B11" s="4">
        <v>6.00408511E8</v>
      </c>
      <c r="C11" s="1" t="s">
        <v>187</v>
      </c>
      <c r="D11" s="1" t="s">
        <v>188</v>
      </c>
      <c r="E11" s="1">
        <v>7.0</v>
      </c>
      <c r="F11" s="1" t="s">
        <v>20</v>
      </c>
      <c r="G11" s="4" t="s">
        <v>21</v>
      </c>
      <c r="I11" s="1" t="s">
        <v>22</v>
      </c>
      <c r="J11" s="1"/>
      <c r="K11" s="1" t="s">
        <v>22</v>
      </c>
      <c r="L11" s="1"/>
      <c r="M11" s="1" t="s">
        <v>22</v>
      </c>
      <c r="N11" s="1">
        <v>5.0</v>
      </c>
      <c r="O11" s="1" t="s">
        <v>23</v>
      </c>
      <c r="P11" s="1">
        <f t="shared" si="3"/>
        <v>3</v>
      </c>
      <c r="Q11" s="3">
        <f t="shared" si="1"/>
        <v>300</v>
      </c>
    </row>
    <row r="12" ht="15.75" customHeight="1">
      <c r="A12" s="1" t="s">
        <v>135</v>
      </c>
      <c r="B12" s="4">
        <v>6.00411031E8</v>
      </c>
      <c r="C12" s="1" t="s">
        <v>189</v>
      </c>
      <c r="D12" s="1" t="s">
        <v>190</v>
      </c>
      <c r="E12" s="1">
        <v>6.0</v>
      </c>
      <c r="F12" s="1" t="s">
        <v>191</v>
      </c>
      <c r="G12" s="4" t="s">
        <v>21</v>
      </c>
      <c r="I12" s="1" t="s">
        <v>22</v>
      </c>
      <c r="J12" s="1"/>
      <c r="K12" s="1" t="s">
        <v>22</v>
      </c>
      <c r="L12" s="1"/>
      <c r="M12" s="1" t="s">
        <v>23</v>
      </c>
      <c r="N12" s="1">
        <v>5.0</v>
      </c>
      <c r="O12" s="1" t="s">
        <v>23</v>
      </c>
      <c r="P12" s="1">
        <f t="shared" si="3"/>
        <v>2</v>
      </c>
      <c r="Q12" s="3">
        <f t="shared" si="1"/>
        <v>200</v>
      </c>
    </row>
    <row r="13" ht="15.75" customHeight="1">
      <c r="A13" s="1" t="s">
        <v>135</v>
      </c>
      <c r="B13" s="4">
        <v>6.00409183E8</v>
      </c>
      <c r="C13" s="1" t="s">
        <v>192</v>
      </c>
      <c r="D13" s="1" t="s">
        <v>193</v>
      </c>
      <c r="E13" s="1">
        <v>6.0</v>
      </c>
      <c r="F13" s="1" t="s">
        <v>20</v>
      </c>
      <c r="G13" s="4" t="s">
        <v>33</v>
      </c>
      <c r="I13" s="1" t="s">
        <v>22</v>
      </c>
      <c r="J13" s="1"/>
      <c r="K13" s="1" t="s">
        <v>22</v>
      </c>
      <c r="L13" s="1"/>
      <c r="M13" s="1" t="s">
        <v>22</v>
      </c>
      <c r="N13" s="1">
        <v>8.0</v>
      </c>
      <c r="O13" s="1" t="s">
        <v>23</v>
      </c>
      <c r="P13" s="1">
        <f t="shared" si="3"/>
        <v>3</v>
      </c>
      <c r="Q13" s="3">
        <f t="shared" si="1"/>
        <v>300</v>
      </c>
    </row>
    <row r="14" ht="15.75" customHeight="1">
      <c r="A14" s="1" t="s">
        <v>135</v>
      </c>
      <c r="B14" s="4">
        <v>6.00412743E8</v>
      </c>
      <c r="C14" s="1" t="s">
        <v>194</v>
      </c>
      <c r="D14" s="1" t="s">
        <v>195</v>
      </c>
      <c r="E14" s="1">
        <v>6.0</v>
      </c>
      <c r="F14" s="1" t="s">
        <v>20</v>
      </c>
      <c r="G14" s="4" t="s">
        <v>33</v>
      </c>
      <c r="I14" s="1" t="s">
        <v>22</v>
      </c>
      <c r="J14" s="1"/>
      <c r="K14" s="1" t="s">
        <v>22</v>
      </c>
      <c r="L14" s="1"/>
      <c r="M14" s="1" t="s">
        <v>22</v>
      </c>
      <c r="N14" s="1">
        <v>7.0</v>
      </c>
      <c r="O14" s="1" t="s">
        <v>23</v>
      </c>
      <c r="P14" s="1">
        <f t="shared" si="3"/>
        <v>3</v>
      </c>
      <c r="Q14" s="3">
        <f t="shared" si="1"/>
        <v>300</v>
      </c>
    </row>
    <row r="15" ht="15.75" customHeight="1">
      <c r="A15" s="1" t="s">
        <v>135</v>
      </c>
      <c r="B15" s="4">
        <v>6.00410656E8</v>
      </c>
      <c r="C15" s="1" t="s">
        <v>196</v>
      </c>
      <c r="D15" s="1" t="s">
        <v>127</v>
      </c>
      <c r="E15" s="1">
        <v>7.0</v>
      </c>
      <c r="F15" s="1" t="s">
        <v>20</v>
      </c>
      <c r="G15" s="4" t="s">
        <v>21</v>
      </c>
      <c r="I15" s="1" t="s">
        <v>22</v>
      </c>
      <c r="J15" s="1"/>
      <c r="K15" s="1" t="s">
        <v>22</v>
      </c>
      <c r="L15" s="1"/>
      <c r="M15" s="1" t="s">
        <v>22</v>
      </c>
      <c r="N15" s="1">
        <v>3.0</v>
      </c>
      <c r="O15" s="1" t="s">
        <v>22</v>
      </c>
      <c r="P15" s="1">
        <v>3.0</v>
      </c>
      <c r="Q15" s="3">
        <f t="shared" si="1"/>
        <v>300</v>
      </c>
    </row>
    <row r="16" ht="15.75" customHeight="1">
      <c r="A16" s="1" t="s">
        <v>135</v>
      </c>
      <c r="B16" s="4">
        <v>6.0040933E8</v>
      </c>
      <c r="C16" s="1" t="s">
        <v>197</v>
      </c>
      <c r="D16" s="1" t="s">
        <v>198</v>
      </c>
      <c r="E16" s="1">
        <v>6.0</v>
      </c>
      <c r="F16" s="1" t="s">
        <v>42</v>
      </c>
      <c r="G16" s="4" t="s">
        <v>21</v>
      </c>
      <c r="I16" s="1" t="s">
        <v>22</v>
      </c>
      <c r="J16" s="1"/>
      <c r="K16" s="1" t="s">
        <v>22</v>
      </c>
      <c r="L16" s="1"/>
      <c r="M16" s="1" t="s">
        <v>22</v>
      </c>
      <c r="N16" s="1">
        <v>4.0</v>
      </c>
      <c r="O16" s="1" t="s">
        <v>23</v>
      </c>
      <c r="P16" s="1">
        <f>COUNTIF(I16:O16, "✔️")</f>
        <v>3</v>
      </c>
      <c r="Q16" s="3">
        <f t="shared" si="1"/>
        <v>300</v>
      </c>
    </row>
    <row r="17" ht="15.75" customHeight="1">
      <c r="A17" s="1" t="s">
        <v>135</v>
      </c>
      <c r="B17" s="4">
        <v>6.00408531E8</v>
      </c>
      <c r="C17" s="1" t="s">
        <v>199</v>
      </c>
      <c r="D17" s="1" t="s">
        <v>200</v>
      </c>
      <c r="E17" s="1">
        <v>6.0</v>
      </c>
      <c r="F17" s="1" t="s">
        <v>20</v>
      </c>
      <c r="G17" s="4" t="s">
        <v>33</v>
      </c>
      <c r="I17" s="1" t="s">
        <v>22</v>
      </c>
      <c r="J17" s="1"/>
      <c r="K17" s="1" t="s">
        <v>22</v>
      </c>
      <c r="L17" s="1"/>
      <c r="M17" s="1" t="s">
        <v>22</v>
      </c>
      <c r="N17" s="1">
        <v>1.0</v>
      </c>
      <c r="O17" s="1" t="s">
        <v>22</v>
      </c>
      <c r="P17" s="1">
        <v>3.0</v>
      </c>
      <c r="Q17" s="3">
        <f t="shared" si="1"/>
        <v>300</v>
      </c>
    </row>
    <row r="18" ht="15.75" customHeight="1">
      <c r="A18" s="1" t="s">
        <v>135</v>
      </c>
      <c r="B18" s="4">
        <v>6.00411927E8</v>
      </c>
      <c r="C18" s="1" t="s">
        <v>201</v>
      </c>
      <c r="D18" s="1" t="s">
        <v>202</v>
      </c>
      <c r="E18" s="1">
        <v>6.0</v>
      </c>
      <c r="F18" s="1" t="s">
        <v>20</v>
      </c>
      <c r="G18" s="4" t="s">
        <v>33</v>
      </c>
      <c r="I18" s="1" t="s">
        <v>22</v>
      </c>
      <c r="J18" s="1"/>
      <c r="K18" s="1" t="s">
        <v>22</v>
      </c>
      <c r="L18" s="1"/>
      <c r="M18" s="1" t="s">
        <v>22</v>
      </c>
      <c r="N18" s="1">
        <v>10.0</v>
      </c>
      <c r="O18" s="1" t="s">
        <v>23</v>
      </c>
      <c r="P18" s="1">
        <f>COUNTIF(I18:O18, "✔️")</f>
        <v>3</v>
      </c>
      <c r="Q18" s="3">
        <f t="shared" si="1"/>
        <v>300</v>
      </c>
    </row>
    <row r="19" ht="15.75" customHeight="1">
      <c r="A19" s="1" t="s">
        <v>135</v>
      </c>
      <c r="B19" s="4">
        <v>6.00410645E8</v>
      </c>
      <c r="C19" s="1" t="s">
        <v>203</v>
      </c>
      <c r="D19" s="1" t="s">
        <v>204</v>
      </c>
      <c r="E19" s="1">
        <v>6.0</v>
      </c>
      <c r="F19" s="1" t="s">
        <v>20</v>
      </c>
      <c r="G19" s="4" t="s">
        <v>21</v>
      </c>
      <c r="I19" s="1" t="s">
        <v>22</v>
      </c>
      <c r="J19" s="1"/>
      <c r="K19" s="1" t="s">
        <v>22</v>
      </c>
      <c r="L19" s="1"/>
      <c r="M19" s="1" t="s">
        <v>22</v>
      </c>
      <c r="N19" s="1">
        <v>2.0</v>
      </c>
      <c r="O19" s="1" t="s">
        <v>22</v>
      </c>
      <c r="P19" s="1">
        <v>3.0</v>
      </c>
      <c r="Q19" s="3">
        <f t="shared" si="1"/>
        <v>300</v>
      </c>
    </row>
    <row r="20" ht="15.75" customHeight="1">
      <c r="A20" s="1" t="s">
        <v>135</v>
      </c>
      <c r="B20" s="4">
        <v>6.00412289E8</v>
      </c>
      <c r="C20" s="1" t="s">
        <v>205</v>
      </c>
      <c r="D20" s="1" t="s">
        <v>206</v>
      </c>
      <c r="E20" s="1">
        <v>6.0</v>
      </c>
      <c r="F20" s="1" t="s">
        <v>42</v>
      </c>
      <c r="G20" s="4" t="s">
        <v>33</v>
      </c>
      <c r="I20" s="1" t="s">
        <v>22</v>
      </c>
      <c r="J20" s="1"/>
      <c r="K20" s="1" t="s">
        <v>22</v>
      </c>
      <c r="L20" s="1"/>
      <c r="M20" s="1" t="s">
        <v>22</v>
      </c>
      <c r="N20" s="1">
        <v>2.0</v>
      </c>
      <c r="O20" s="1" t="s">
        <v>22</v>
      </c>
      <c r="P20" s="1">
        <v>3.0</v>
      </c>
      <c r="Q20" s="3">
        <f t="shared" si="1"/>
        <v>300</v>
      </c>
    </row>
    <row r="21" ht="15.75" customHeight="1">
      <c r="A21" s="1" t="s">
        <v>135</v>
      </c>
      <c r="B21" s="4">
        <v>6.0041236E8</v>
      </c>
      <c r="C21" s="1" t="s">
        <v>205</v>
      </c>
      <c r="D21" s="1" t="s">
        <v>207</v>
      </c>
      <c r="E21" s="1">
        <v>6.0</v>
      </c>
      <c r="F21" s="1" t="s">
        <v>42</v>
      </c>
      <c r="G21" s="4" t="s">
        <v>33</v>
      </c>
      <c r="I21" s="1" t="s">
        <v>22</v>
      </c>
      <c r="J21" s="1"/>
      <c r="K21" s="1" t="s">
        <v>22</v>
      </c>
      <c r="L21" s="1"/>
      <c r="M21" s="1" t="s">
        <v>22</v>
      </c>
      <c r="N21" s="1">
        <v>1.0</v>
      </c>
      <c r="O21" s="1" t="s">
        <v>22</v>
      </c>
      <c r="P21" s="1">
        <v>3.0</v>
      </c>
      <c r="Q21" s="3">
        <f t="shared" si="1"/>
        <v>300</v>
      </c>
    </row>
    <row r="22" ht="15.75" customHeight="1">
      <c r="B22" s="4">
        <v>6.00411856E8</v>
      </c>
      <c r="C22" s="1" t="s">
        <v>208</v>
      </c>
      <c r="D22" s="1" t="s">
        <v>209</v>
      </c>
      <c r="E22" s="1">
        <v>6.0</v>
      </c>
      <c r="F22" s="1" t="s">
        <v>20</v>
      </c>
      <c r="G22" s="4" t="s">
        <v>21</v>
      </c>
      <c r="I22" s="1" t="s">
        <v>22</v>
      </c>
      <c r="J22" s="1"/>
      <c r="K22" s="1" t="s">
        <v>22</v>
      </c>
      <c r="L22" s="1"/>
      <c r="M22" s="1" t="s">
        <v>22</v>
      </c>
      <c r="N22" s="1">
        <v>8.0</v>
      </c>
      <c r="O22" s="1" t="s">
        <v>23</v>
      </c>
      <c r="P22" s="1">
        <f t="shared" ref="P22:P31" si="4">COUNTIF(I22:O22, "✔️")</f>
        <v>3</v>
      </c>
      <c r="Q22" s="3">
        <f t="shared" si="1"/>
        <v>300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4"/>
        <v>0</v>
      </c>
      <c r="Q23" s="3">
        <f t="shared" si="1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4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4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4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4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4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4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4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4"/>
        <v>0</v>
      </c>
      <c r="Q31" s="3">
        <f t="shared" si="1"/>
        <v>0</v>
      </c>
    </row>
    <row r="32" ht="15.75" customHeight="1">
      <c r="I32" s="1">
        <f t="shared" ref="I32:K32" si="5">COUNTIF(I2:I31, "✔️")</f>
        <v>21</v>
      </c>
      <c r="J32" s="1">
        <f t="shared" si="5"/>
        <v>0</v>
      </c>
      <c r="K32" s="1">
        <f t="shared" si="5"/>
        <v>21</v>
      </c>
      <c r="L32" s="1"/>
      <c r="M32" s="1">
        <f>COUNTIF(M2:M31, "✔️")</f>
        <v>18</v>
      </c>
      <c r="N32" s="1"/>
      <c r="O32" s="1">
        <f>COUNTIF(O2:O31, "✔️")</f>
        <v>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20.0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135</v>
      </c>
      <c r="B2" s="4">
        <v>6.00410407E8</v>
      </c>
      <c r="C2" s="1" t="s">
        <v>210</v>
      </c>
      <c r="D2" s="1" t="s">
        <v>211</v>
      </c>
      <c r="E2" s="1">
        <v>6.0</v>
      </c>
      <c r="F2" s="1" t="s">
        <v>20</v>
      </c>
      <c r="G2" s="4" t="s">
        <v>21</v>
      </c>
      <c r="I2" s="1" t="s">
        <v>22</v>
      </c>
      <c r="J2" s="1"/>
      <c r="K2" s="1" t="s">
        <v>23</v>
      </c>
      <c r="L2" s="1">
        <v>3.0</v>
      </c>
      <c r="M2" s="1" t="s">
        <v>23</v>
      </c>
      <c r="N2" s="1"/>
      <c r="O2" s="1" t="s">
        <v>23</v>
      </c>
      <c r="P2" s="1">
        <v>1.0</v>
      </c>
      <c r="Q2" s="3">
        <v>100.0</v>
      </c>
    </row>
    <row r="3" ht="15.75" customHeight="1">
      <c r="A3" s="1" t="s">
        <v>135</v>
      </c>
      <c r="B3" s="4">
        <v>6.0041033E8</v>
      </c>
      <c r="C3" s="1" t="s">
        <v>212</v>
      </c>
      <c r="D3" s="1" t="s">
        <v>161</v>
      </c>
      <c r="E3" s="1">
        <v>6.0</v>
      </c>
      <c r="F3" s="1" t="s">
        <v>55</v>
      </c>
      <c r="G3" s="4" t="s">
        <v>33</v>
      </c>
      <c r="I3" s="1" t="s">
        <v>22</v>
      </c>
      <c r="J3" s="1"/>
      <c r="K3" s="1" t="s">
        <v>22</v>
      </c>
      <c r="L3" s="1"/>
      <c r="M3" s="1" t="s">
        <v>22</v>
      </c>
      <c r="N3" s="1"/>
      <c r="O3" s="1" t="s">
        <v>23</v>
      </c>
      <c r="P3" s="1">
        <v>3.0</v>
      </c>
      <c r="Q3" s="3">
        <f t="shared" ref="Q3:Q31" si="1">IF(P3=1, 100, IF(P3=2, 200, IF(P3=3, 300, 0)))</f>
        <v>300</v>
      </c>
    </row>
    <row r="4" ht="15.75" customHeight="1">
      <c r="A4" s="1" t="s">
        <v>135</v>
      </c>
      <c r="B4" s="4">
        <v>6.00409342E8</v>
      </c>
      <c r="C4" s="1" t="s">
        <v>213</v>
      </c>
      <c r="D4" s="1" t="s">
        <v>214</v>
      </c>
      <c r="E4" s="1">
        <v>6.0</v>
      </c>
      <c r="F4" s="1" t="s">
        <v>20</v>
      </c>
      <c r="G4" s="4" t="s">
        <v>33</v>
      </c>
      <c r="I4" s="1" t="s">
        <v>22</v>
      </c>
      <c r="J4" s="1"/>
      <c r="K4" s="1" t="s">
        <v>23</v>
      </c>
      <c r="L4" s="1">
        <v>3.0</v>
      </c>
      <c r="M4" s="1" t="s">
        <v>23</v>
      </c>
      <c r="N4" s="1"/>
      <c r="O4" s="1" t="s">
        <v>23</v>
      </c>
      <c r="P4" s="1">
        <v>1.0</v>
      </c>
      <c r="Q4" s="3">
        <f t="shared" si="1"/>
        <v>100</v>
      </c>
    </row>
    <row r="5" ht="15.75" customHeight="1">
      <c r="A5" s="1" t="s">
        <v>135</v>
      </c>
      <c r="B5" s="4">
        <v>6.0040874E8</v>
      </c>
      <c r="C5" s="1" t="s">
        <v>215</v>
      </c>
      <c r="D5" s="1" t="s">
        <v>216</v>
      </c>
      <c r="E5" s="1">
        <v>6.0</v>
      </c>
      <c r="F5" s="1" t="s">
        <v>20</v>
      </c>
      <c r="G5" s="4" t="s">
        <v>21</v>
      </c>
      <c r="I5" s="1" t="s">
        <v>22</v>
      </c>
      <c r="J5" s="1"/>
      <c r="K5" s="1" t="s">
        <v>22</v>
      </c>
      <c r="L5" s="1"/>
      <c r="M5" s="1" t="s">
        <v>22</v>
      </c>
      <c r="N5" s="1"/>
      <c r="O5" s="1" t="s">
        <v>23</v>
      </c>
      <c r="P5" s="1">
        <v>3.0</v>
      </c>
      <c r="Q5" s="3">
        <f t="shared" si="1"/>
        <v>300</v>
      </c>
    </row>
    <row r="6" ht="15.75" customHeight="1">
      <c r="A6" s="1" t="s">
        <v>135</v>
      </c>
      <c r="B6" s="4">
        <v>6.00411524E8</v>
      </c>
      <c r="C6" s="1" t="s">
        <v>217</v>
      </c>
      <c r="D6" s="1" t="s">
        <v>218</v>
      </c>
      <c r="E6" s="1">
        <v>6.0</v>
      </c>
      <c r="F6" s="1" t="s">
        <v>20</v>
      </c>
      <c r="G6" s="4" t="s">
        <v>33</v>
      </c>
      <c r="I6" s="1" t="s">
        <v>22</v>
      </c>
      <c r="J6" s="1"/>
      <c r="K6" s="1" t="s">
        <v>23</v>
      </c>
      <c r="L6" s="1">
        <v>1.0</v>
      </c>
      <c r="M6" s="1" t="s">
        <v>22</v>
      </c>
      <c r="N6" s="1"/>
      <c r="O6" s="1" t="s">
        <v>23</v>
      </c>
      <c r="P6" s="1">
        <v>2.0</v>
      </c>
      <c r="Q6" s="3">
        <f t="shared" si="1"/>
        <v>200</v>
      </c>
    </row>
    <row r="7" ht="15.75" customHeight="1">
      <c r="A7" s="1" t="s">
        <v>135</v>
      </c>
      <c r="B7" s="4">
        <v>6.00411786E8</v>
      </c>
      <c r="C7" s="1" t="s">
        <v>219</v>
      </c>
      <c r="D7" s="1" t="s">
        <v>220</v>
      </c>
      <c r="E7" s="1">
        <v>6.0</v>
      </c>
      <c r="F7" s="1" t="s">
        <v>55</v>
      </c>
      <c r="G7" s="4" t="s">
        <v>33</v>
      </c>
      <c r="I7" s="1" t="s">
        <v>22</v>
      </c>
      <c r="J7" s="1"/>
      <c r="K7" s="1" t="s">
        <v>23</v>
      </c>
      <c r="L7" s="1"/>
      <c r="M7" s="1" t="s">
        <v>22</v>
      </c>
      <c r="N7" s="1">
        <v>3.0</v>
      </c>
      <c r="O7" s="1" t="s">
        <v>22</v>
      </c>
      <c r="P7" s="1">
        <v>3.0</v>
      </c>
      <c r="Q7" s="3">
        <f t="shared" si="1"/>
        <v>300</v>
      </c>
    </row>
    <row r="8" ht="15.75" customHeight="1">
      <c r="A8" s="1" t="s">
        <v>135</v>
      </c>
      <c r="B8" s="4">
        <v>6.00412696E8</v>
      </c>
      <c r="C8" s="1" t="s">
        <v>38</v>
      </c>
      <c r="D8" s="1" t="s">
        <v>221</v>
      </c>
      <c r="E8" s="1">
        <v>7.0</v>
      </c>
      <c r="F8" s="1" t="s">
        <v>20</v>
      </c>
      <c r="G8" s="4" t="s">
        <v>33</v>
      </c>
      <c r="I8" s="1" t="s">
        <v>22</v>
      </c>
      <c r="J8" s="1"/>
      <c r="K8" s="1" t="s">
        <v>22</v>
      </c>
      <c r="L8" s="1"/>
      <c r="M8" s="1" t="s">
        <v>22</v>
      </c>
      <c r="N8" s="1"/>
      <c r="O8" s="1" t="s">
        <v>23</v>
      </c>
      <c r="P8" s="1">
        <v>3.0</v>
      </c>
      <c r="Q8" s="3">
        <f t="shared" si="1"/>
        <v>300</v>
      </c>
    </row>
    <row r="9" ht="15.75" customHeight="1">
      <c r="A9" s="1" t="s">
        <v>135</v>
      </c>
      <c r="B9" s="4">
        <v>6.00410754E8</v>
      </c>
      <c r="C9" s="1" t="s">
        <v>222</v>
      </c>
      <c r="D9" s="1" t="s">
        <v>223</v>
      </c>
      <c r="E9" s="1">
        <v>6.0</v>
      </c>
      <c r="F9" s="8" t="s">
        <v>157</v>
      </c>
      <c r="G9" s="4" t="s">
        <v>33</v>
      </c>
      <c r="I9" s="1" t="s">
        <v>22</v>
      </c>
      <c r="J9" s="1"/>
      <c r="K9" s="1" t="s">
        <v>22</v>
      </c>
      <c r="L9" s="1">
        <v>2.0</v>
      </c>
      <c r="M9" s="1" t="s">
        <v>23</v>
      </c>
      <c r="N9" s="1"/>
      <c r="O9" s="1" t="s">
        <v>23</v>
      </c>
      <c r="P9" s="1">
        <v>2.0</v>
      </c>
      <c r="Q9" s="3">
        <f t="shared" si="1"/>
        <v>200</v>
      </c>
    </row>
    <row r="10" ht="15.75" customHeight="1">
      <c r="A10" s="1" t="s">
        <v>135</v>
      </c>
      <c r="B10" s="4">
        <v>6.00412046E8</v>
      </c>
      <c r="C10" s="1" t="s">
        <v>183</v>
      </c>
      <c r="D10" s="1" t="s">
        <v>182</v>
      </c>
      <c r="E10" s="1">
        <v>6.0</v>
      </c>
      <c r="F10" s="1" t="s">
        <v>20</v>
      </c>
      <c r="G10" s="4" t="s">
        <v>21</v>
      </c>
      <c r="I10" s="1" t="s">
        <v>22</v>
      </c>
      <c r="J10" s="1"/>
      <c r="K10" s="1" t="s">
        <v>23</v>
      </c>
      <c r="L10" s="1"/>
      <c r="M10" s="1" t="s">
        <v>22</v>
      </c>
      <c r="N10" s="1"/>
      <c r="O10" s="1" t="s">
        <v>23</v>
      </c>
      <c r="P10" s="1">
        <v>2.0</v>
      </c>
      <c r="Q10" s="3">
        <f t="shared" si="1"/>
        <v>200</v>
      </c>
    </row>
    <row r="11" ht="15.75" customHeight="1">
      <c r="A11" s="1" t="s">
        <v>135</v>
      </c>
      <c r="B11" s="4">
        <v>6.00409485E8</v>
      </c>
      <c r="C11" s="1" t="s">
        <v>224</v>
      </c>
      <c r="D11" s="1" t="s">
        <v>225</v>
      </c>
      <c r="E11" s="1">
        <v>7.0</v>
      </c>
      <c r="F11" s="1" t="s">
        <v>20</v>
      </c>
      <c r="G11" s="4" t="s">
        <v>33</v>
      </c>
      <c r="I11" s="1" t="s">
        <v>22</v>
      </c>
      <c r="J11" s="1"/>
      <c r="K11" s="1" t="s">
        <v>23</v>
      </c>
      <c r="L11" s="1"/>
      <c r="M11" s="1" t="s">
        <v>22</v>
      </c>
      <c r="N11" s="1"/>
      <c r="O11" s="1" t="s">
        <v>23</v>
      </c>
      <c r="P11" s="1">
        <v>2.0</v>
      </c>
      <c r="Q11" s="3">
        <f t="shared" si="1"/>
        <v>200</v>
      </c>
    </row>
    <row r="12" ht="15.75" customHeight="1">
      <c r="A12" s="1" t="s">
        <v>135</v>
      </c>
      <c r="B12" s="4">
        <v>6.00409395E8</v>
      </c>
      <c r="C12" s="1" t="s">
        <v>226</v>
      </c>
      <c r="D12" s="1" t="s">
        <v>119</v>
      </c>
      <c r="E12" s="1">
        <v>6.0</v>
      </c>
      <c r="F12" s="1" t="s">
        <v>55</v>
      </c>
      <c r="G12" s="4" t="s">
        <v>21</v>
      </c>
      <c r="I12" s="1" t="s">
        <v>22</v>
      </c>
      <c r="J12" s="1"/>
      <c r="K12" s="1" t="s">
        <v>22</v>
      </c>
      <c r="L12" s="1"/>
      <c r="M12" s="1" t="s">
        <v>22</v>
      </c>
      <c r="N12" s="1">
        <v>2.0</v>
      </c>
      <c r="O12" s="1" t="s">
        <v>22</v>
      </c>
      <c r="P12" s="1">
        <v>3.0</v>
      </c>
      <c r="Q12" s="3">
        <f t="shared" si="1"/>
        <v>300</v>
      </c>
    </row>
    <row r="13" ht="15.75" customHeight="1">
      <c r="A13" s="1" t="s">
        <v>135</v>
      </c>
      <c r="B13" s="4">
        <v>6.00411409E8</v>
      </c>
      <c r="C13" s="1" t="s">
        <v>227</v>
      </c>
      <c r="D13" s="1" t="s">
        <v>228</v>
      </c>
      <c r="E13" s="1">
        <v>6.0</v>
      </c>
      <c r="F13" s="1" t="s">
        <v>20</v>
      </c>
      <c r="G13" s="4" t="s">
        <v>21</v>
      </c>
      <c r="I13" s="1" t="s">
        <v>22</v>
      </c>
      <c r="J13" s="1"/>
      <c r="K13" s="1" t="s">
        <v>23</v>
      </c>
      <c r="L13" s="1"/>
      <c r="M13" s="1" t="s">
        <v>22</v>
      </c>
      <c r="N13" s="1"/>
      <c r="O13" s="1" t="s">
        <v>23</v>
      </c>
      <c r="P13" s="1">
        <v>2.0</v>
      </c>
      <c r="Q13" s="3">
        <f t="shared" si="1"/>
        <v>200</v>
      </c>
    </row>
    <row r="14" ht="15.75" customHeight="1">
      <c r="A14" s="1" t="s">
        <v>135</v>
      </c>
      <c r="B14" s="4">
        <v>6.00411234E8</v>
      </c>
      <c r="C14" s="1" t="s">
        <v>229</v>
      </c>
      <c r="D14" s="1" t="s">
        <v>230</v>
      </c>
      <c r="E14" s="1">
        <v>6.0</v>
      </c>
      <c r="F14" s="1" t="s">
        <v>20</v>
      </c>
      <c r="G14" s="4" t="s">
        <v>33</v>
      </c>
      <c r="I14" s="1" t="s">
        <v>22</v>
      </c>
      <c r="J14" s="1"/>
      <c r="K14" s="1" t="s">
        <v>23</v>
      </c>
      <c r="L14" s="1">
        <v>1.0</v>
      </c>
      <c r="M14" s="1" t="s">
        <v>22</v>
      </c>
      <c r="N14" s="1"/>
      <c r="O14" s="1" t="s">
        <v>23</v>
      </c>
      <c r="P14" s="1">
        <v>2.0</v>
      </c>
      <c r="Q14" s="3">
        <f t="shared" si="1"/>
        <v>200</v>
      </c>
    </row>
    <row r="15" ht="15.75" customHeight="1">
      <c r="A15" s="1" t="s">
        <v>135</v>
      </c>
      <c r="B15" s="4">
        <v>6.00409043E8</v>
      </c>
      <c r="C15" s="1" t="s">
        <v>231</v>
      </c>
      <c r="D15" s="1" t="s">
        <v>232</v>
      </c>
      <c r="E15" s="1">
        <v>6.0</v>
      </c>
      <c r="F15" s="1" t="s">
        <v>20</v>
      </c>
      <c r="G15" s="4" t="s">
        <v>21</v>
      </c>
      <c r="I15" s="1" t="s">
        <v>22</v>
      </c>
      <c r="J15" s="1"/>
      <c r="K15" s="1" t="s">
        <v>22</v>
      </c>
      <c r="L15" s="1"/>
      <c r="M15" s="1" t="s">
        <v>22</v>
      </c>
      <c r="N15" s="1"/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135</v>
      </c>
      <c r="B16" s="4">
        <v>6.00411734E8</v>
      </c>
      <c r="C16" s="1" t="s">
        <v>233</v>
      </c>
      <c r="D16" s="1" t="s">
        <v>234</v>
      </c>
      <c r="E16" s="1">
        <v>6.0</v>
      </c>
      <c r="F16" s="1" t="s">
        <v>55</v>
      </c>
      <c r="G16" s="4" t="s">
        <v>33</v>
      </c>
      <c r="I16" s="1" t="s">
        <v>22</v>
      </c>
      <c r="J16" s="1"/>
      <c r="K16" s="1" t="s">
        <v>22</v>
      </c>
      <c r="L16" s="1"/>
      <c r="M16" s="1" t="s">
        <v>22</v>
      </c>
      <c r="N16" s="1"/>
      <c r="O16" s="1" t="s">
        <v>23</v>
      </c>
      <c r="P16" s="1">
        <v>3.0</v>
      </c>
      <c r="Q16" s="3">
        <f t="shared" si="1"/>
        <v>300</v>
      </c>
    </row>
    <row r="17" ht="15.75" customHeight="1">
      <c r="A17" s="1" t="s">
        <v>135</v>
      </c>
      <c r="B17" s="4">
        <v>6.00411481E8</v>
      </c>
      <c r="C17" s="1" t="s">
        <v>90</v>
      </c>
      <c r="D17" s="1" t="s">
        <v>235</v>
      </c>
      <c r="E17" s="1">
        <v>7.0</v>
      </c>
      <c r="F17" s="1" t="s">
        <v>55</v>
      </c>
      <c r="G17" s="4" t="s">
        <v>21</v>
      </c>
      <c r="I17" s="1" t="s">
        <v>22</v>
      </c>
      <c r="J17" s="1"/>
      <c r="K17" s="1" t="s">
        <v>22</v>
      </c>
      <c r="L17" s="1"/>
      <c r="M17" s="1" t="s">
        <v>22</v>
      </c>
      <c r="N17" s="1"/>
      <c r="O17" s="1" t="s">
        <v>23</v>
      </c>
      <c r="P17" s="1">
        <v>3.0</v>
      </c>
      <c r="Q17" s="3">
        <f t="shared" si="1"/>
        <v>300</v>
      </c>
    </row>
    <row r="18" ht="15.75" customHeight="1">
      <c r="A18" s="1" t="s">
        <v>135</v>
      </c>
      <c r="B18" s="4">
        <v>6.00408746E8</v>
      </c>
      <c r="C18" s="1" t="s">
        <v>236</v>
      </c>
      <c r="D18" s="1" t="s">
        <v>237</v>
      </c>
      <c r="E18" s="1">
        <v>6.0</v>
      </c>
      <c r="F18" s="1" t="s">
        <v>20</v>
      </c>
      <c r="G18" s="4" t="s">
        <v>21</v>
      </c>
      <c r="I18" s="1" t="s">
        <v>22</v>
      </c>
      <c r="J18" s="1"/>
      <c r="K18" s="1" t="s">
        <v>22</v>
      </c>
      <c r="L18" s="1">
        <v>2.0</v>
      </c>
      <c r="M18" s="1" t="s">
        <v>23</v>
      </c>
      <c r="N18" s="1"/>
      <c r="O18" s="1" t="s">
        <v>23</v>
      </c>
      <c r="P18" s="1">
        <v>2.0</v>
      </c>
      <c r="Q18" s="3">
        <f t="shared" si="1"/>
        <v>200</v>
      </c>
    </row>
    <row r="19" ht="15.75" customHeight="1">
      <c r="A19" s="1" t="s">
        <v>135</v>
      </c>
      <c r="B19" s="4">
        <v>6.00408524E8</v>
      </c>
      <c r="C19" s="1" t="s">
        <v>203</v>
      </c>
      <c r="D19" s="1" t="s">
        <v>238</v>
      </c>
      <c r="E19" s="1">
        <v>6.0</v>
      </c>
      <c r="F19" s="1" t="s">
        <v>20</v>
      </c>
      <c r="G19" s="4" t="s">
        <v>21</v>
      </c>
      <c r="I19" s="1" t="s">
        <v>22</v>
      </c>
      <c r="J19" s="1"/>
      <c r="K19" s="1" t="s">
        <v>22</v>
      </c>
      <c r="L19" s="1"/>
      <c r="M19" s="1" t="s">
        <v>22</v>
      </c>
      <c r="N19" s="1"/>
      <c r="O19" s="1" t="s">
        <v>23</v>
      </c>
      <c r="P19" s="1">
        <v>3.0</v>
      </c>
      <c r="Q19" s="3">
        <f t="shared" si="1"/>
        <v>300</v>
      </c>
    </row>
    <row r="20" ht="15.75" customHeight="1">
      <c r="A20" s="1" t="s">
        <v>135</v>
      </c>
      <c r="B20" s="4">
        <v>6.00411397E8</v>
      </c>
      <c r="C20" s="1" t="s">
        <v>93</v>
      </c>
      <c r="D20" s="1" t="s">
        <v>239</v>
      </c>
      <c r="E20" s="1">
        <v>6.0</v>
      </c>
      <c r="F20" s="1" t="s">
        <v>55</v>
      </c>
      <c r="G20" s="4" t="s">
        <v>33</v>
      </c>
      <c r="I20" s="1" t="s">
        <v>22</v>
      </c>
      <c r="J20" s="1"/>
      <c r="K20" s="1" t="s">
        <v>22</v>
      </c>
      <c r="L20" s="1"/>
      <c r="M20" s="1" t="s">
        <v>22</v>
      </c>
      <c r="N20" s="1"/>
      <c r="O20" s="1" t="s">
        <v>23</v>
      </c>
      <c r="P20" s="1">
        <v>3.0</v>
      </c>
      <c r="Q20" s="3">
        <f t="shared" si="1"/>
        <v>300</v>
      </c>
    </row>
    <row r="21" ht="15.75" customHeight="1">
      <c r="A21" s="1" t="s">
        <v>135</v>
      </c>
      <c r="B21" s="4">
        <v>6.0041016E8</v>
      </c>
      <c r="C21" s="1" t="s">
        <v>240</v>
      </c>
      <c r="D21" s="1" t="s">
        <v>241</v>
      </c>
      <c r="E21" s="1">
        <v>6.0</v>
      </c>
      <c r="F21" s="1" t="s">
        <v>20</v>
      </c>
      <c r="G21" s="4" t="s">
        <v>33</v>
      </c>
      <c r="I21" s="1" t="s">
        <v>22</v>
      </c>
      <c r="J21" s="1"/>
      <c r="K21" s="1" t="s">
        <v>23</v>
      </c>
      <c r="L21" s="1">
        <v>1.0</v>
      </c>
      <c r="M21" s="1" t="s">
        <v>22</v>
      </c>
      <c r="N21" s="1">
        <v>3.0</v>
      </c>
      <c r="O21" s="1" t="s">
        <v>22</v>
      </c>
      <c r="P21" s="1">
        <v>3.0</v>
      </c>
      <c r="Q21" s="3">
        <f t="shared" si="1"/>
        <v>300</v>
      </c>
    </row>
    <row r="22" ht="15.75" customHeight="1">
      <c r="I22" s="1"/>
      <c r="J22" s="1"/>
      <c r="K22" s="1"/>
      <c r="L22" s="1"/>
      <c r="M22" s="1"/>
      <c r="N22" s="1"/>
      <c r="O22" s="1"/>
      <c r="P22" s="1">
        <f t="shared" ref="P22:P31" si="2">COUNTIF(I22:O22, "✔️")</f>
        <v>0</v>
      </c>
      <c r="Q22" s="3">
        <f t="shared" si="1"/>
        <v>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2"/>
        <v>0</v>
      </c>
      <c r="Q23" s="3">
        <f t="shared" si="1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2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2"/>
        <v>0</v>
      </c>
      <c r="Q31" s="3">
        <f t="shared" si="1"/>
        <v>0</v>
      </c>
    </row>
    <row r="32" ht="15.75" customHeight="1">
      <c r="I32" s="1">
        <f t="shared" ref="I32:K32" si="3">COUNTIF(I2:I31, "✔️")</f>
        <v>20</v>
      </c>
      <c r="J32" s="1">
        <f t="shared" si="3"/>
        <v>0</v>
      </c>
      <c r="K32" s="1">
        <f t="shared" si="3"/>
        <v>11</v>
      </c>
      <c r="L32" s="1"/>
      <c r="M32" s="1">
        <f>COUNTIF(M2:M31, "✔️")</f>
        <v>16</v>
      </c>
      <c r="N32" s="1"/>
      <c r="O32" s="1">
        <f>COUNTIF(O2:O31, "✔️")</f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242</v>
      </c>
      <c r="B2" s="9">
        <v>6.00410311E8</v>
      </c>
      <c r="C2" s="9" t="s">
        <v>18</v>
      </c>
      <c r="D2" s="1" t="s">
        <v>243</v>
      </c>
      <c r="E2" s="1">
        <v>8.0</v>
      </c>
      <c r="F2" s="1" t="s">
        <v>55</v>
      </c>
      <c r="G2" s="9" t="s">
        <v>33</v>
      </c>
      <c r="I2" s="1" t="s">
        <v>22</v>
      </c>
      <c r="J2" s="1"/>
      <c r="K2" s="1"/>
      <c r="L2" s="1">
        <v>0.0</v>
      </c>
      <c r="M2" s="1" t="s">
        <v>22</v>
      </c>
      <c r="N2" s="1">
        <v>2.0</v>
      </c>
      <c r="O2" s="1" t="s">
        <v>22</v>
      </c>
      <c r="P2" s="1">
        <f t="shared" ref="P2:P3" si="1">COUNTIF(I2:O2, "✔️")</f>
        <v>3</v>
      </c>
      <c r="Q2" s="3">
        <f t="shared" ref="Q2:Q8" si="2">IF(P2=1, 100, IF(P2=2, 200, IF(P2=3, 300, 0)))</f>
        <v>300</v>
      </c>
    </row>
    <row r="3" ht="15.75" customHeight="1">
      <c r="A3" s="1" t="s">
        <v>242</v>
      </c>
      <c r="B3" s="4">
        <v>6.00407222E8</v>
      </c>
      <c r="C3" s="4" t="s">
        <v>244</v>
      </c>
      <c r="D3" s="1" t="s">
        <v>245</v>
      </c>
      <c r="E3" s="1">
        <v>7.0</v>
      </c>
      <c r="F3" s="1" t="s">
        <v>20</v>
      </c>
      <c r="G3" s="4" t="s">
        <v>21</v>
      </c>
      <c r="I3" s="1" t="s">
        <v>22</v>
      </c>
      <c r="J3" s="1"/>
      <c r="K3" s="1"/>
      <c r="L3" s="1">
        <v>0.0</v>
      </c>
      <c r="M3" s="1" t="s">
        <v>22</v>
      </c>
      <c r="N3" s="1">
        <v>2.0</v>
      </c>
      <c r="O3" s="1" t="s">
        <v>22</v>
      </c>
      <c r="P3" s="1">
        <f t="shared" si="1"/>
        <v>3</v>
      </c>
      <c r="Q3" s="3">
        <f t="shared" si="2"/>
        <v>300</v>
      </c>
    </row>
    <row r="4" ht="15.75" customHeight="1">
      <c r="A4" s="1" t="s">
        <v>242</v>
      </c>
      <c r="B4" s="4">
        <v>6.00412193E8</v>
      </c>
      <c r="C4" s="4" t="s">
        <v>246</v>
      </c>
      <c r="D4" s="1" t="s">
        <v>247</v>
      </c>
      <c r="E4" s="1">
        <v>7.0</v>
      </c>
      <c r="F4" s="1" t="s">
        <v>20</v>
      </c>
      <c r="G4" s="4" t="s">
        <v>33</v>
      </c>
      <c r="I4" s="1" t="s">
        <v>22</v>
      </c>
      <c r="J4" s="1"/>
      <c r="K4" s="1"/>
      <c r="L4" s="1">
        <v>0.0</v>
      </c>
      <c r="M4" s="1" t="s">
        <v>22</v>
      </c>
      <c r="N4" s="1">
        <v>4.0</v>
      </c>
      <c r="O4" s="1" t="s">
        <v>23</v>
      </c>
      <c r="P4" s="1">
        <v>3.0</v>
      </c>
      <c r="Q4" s="3">
        <f t="shared" si="2"/>
        <v>300</v>
      </c>
    </row>
    <row r="5" ht="15.75" customHeight="1">
      <c r="A5" s="1" t="s">
        <v>242</v>
      </c>
      <c r="B5" s="4">
        <v>6.00407431E8</v>
      </c>
      <c r="C5" s="4" t="s">
        <v>248</v>
      </c>
      <c r="D5" s="1" t="s">
        <v>249</v>
      </c>
      <c r="E5" s="1">
        <v>8.0</v>
      </c>
      <c r="F5" s="1" t="s">
        <v>20</v>
      </c>
      <c r="G5" s="4" t="s">
        <v>21</v>
      </c>
      <c r="I5" s="1" t="s">
        <v>22</v>
      </c>
      <c r="J5" s="1"/>
      <c r="K5" s="1"/>
      <c r="L5" s="1">
        <v>0.0</v>
      </c>
      <c r="M5" s="1" t="s">
        <v>22</v>
      </c>
      <c r="N5" s="1">
        <v>4.0</v>
      </c>
      <c r="O5" s="1" t="s">
        <v>23</v>
      </c>
      <c r="P5" s="1">
        <f t="shared" ref="P5:P8" si="3">COUNTIF(I5:O5, "✔️")</f>
        <v>2</v>
      </c>
      <c r="Q5" s="3">
        <f t="shared" si="2"/>
        <v>200</v>
      </c>
    </row>
    <row r="6" ht="15.75" customHeight="1">
      <c r="A6" s="1" t="s">
        <v>242</v>
      </c>
      <c r="B6" s="4">
        <v>6.00412515E8</v>
      </c>
      <c r="C6" s="4" t="s">
        <v>250</v>
      </c>
      <c r="D6" s="1" t="s">
        <v>251</v>
      </c>
      <c r="E6" s="1">
        <v>7.0</v>
      </c>
      <c r="F6" s="1" t="s">
        <v>20</v>
      </c>
      <c r="G6" s="4" t="s">
        <v>21</v>
      </c>
      <c r="I6" s="1" t="s">
        <v>22</v>
      </c>
      <c r="J6" s="1"/>
      <c r="K6" s="1"/>
      <c r="L6" s="1">
        <v>0.0</v>
      </c>
      <c r="M6" s="1" t="s">
        <v>22</v>
      </c>
      <c r="N6" s="1">
        <v>16.0</v>
      </c>
      <c r="O6" s="1" t="s">
        <v>23</v>
      </c>
      <c r="P6" s="1">
        <f t="shared" si="3"/>
        <v>2</v>
      </c>
      <c r="Q6" s="3">
        <f t="shared" si="2"/>
        <v>200</v>
      </c>
    </row>
    <row r="7" ht="15.75" customHeight="1">
      <c r="A7" s="1" t="s">
        <v>242</v>
      </c>
      <c r="B7" s="4">
        <v>6.00407239E8</v>
      </c>
      <c r="C7" s="4" t="s">
        <v>252</v>
      </c>
      <c r="D7" s="1" t="s">
        <v>253</v>
      </c>
      <c r="E7" s="1">
        <v>7.0</v>
      </c>
      <c r="F7" s="1" t="s">
        <v>20</v>
      </c>
      <c r="G7" s="4" t="s">
        <v>21</v>
      </c>
      <c r="I7" s="1" t="s">
        <v>22</v>
      </c>
      <c r="J7" s="1"/>
      <c r="K7" s="1"/>
      <c r="L7" s="1">
        <v>0.0</v>
      </c>
      <c r="M7" s="1" t="s">
        <v>22</v>
      </c>
      <c r="N7" s="1">
        <v>2.0</v>
      </c>
      <c r="O7" s="1" t="s">
        <v>22</v>
      </c>
      <c r="P7" s="1">
        <f t="shared" si="3"/>
        <v>3</v>
      </c>
      <c r="Q7" s="3">
        <f t="shared" si="2"/>
        <v>300</v>
      </c>
    </row>
    <row r="8" ht="15.75" customHeight="1">
      <c r="A8" s="1" t="s">
        <v>242</v>
      </c>
      <c r="B8" s="4">
        <v>6.00412065E8</v>
      </c>
      <c r="C8" s="4" t="s">
        <v>254</v>
      </c>
      <c r="D8" s="1" t="s">
        <v>173</v>
      </c>
      <c r="E8" s="1">
        <v>8.0</v>
      </c>
      <c r="F8" s="1" t="s">
        <v>20</v>
      </c>
      <c r="G8" s="4" t="s">
        <v>33</v>
      </c>
      <c r="I8" s="1" t="s">
        <v>22</v>
      </c>
      <c r="J8" s="1"/>
      <c r="K8" s="1"/>
      <c r="L8" s="1">
        <v>0.0</v>
      </c>
      <c r="M8" s="1" t="s">
        <v>22</v>
      </c>
      <c r="N8" s="1">
        <v>1.0</v>
      </c>
      <c r="O8" s="1" t="s">
        <v>22</v>
      </c>
      <c r="P8" s="1">
        <f t="shared" si="3"/>
        <v>3</v>
      </c>
      <c r="Q8" s="3">
        <f t="shared" si="2"/>
        <v>300</v>
      </c>
    </row>
    <row r="9" ht="15.75" customHeight="1">
      <c r="A9" s="1" t="s">
        <v>242</v>
      </c>
      <c r="B9" s="4">
        <v>6.00409403E8</v>
      </c>
      <c r="C9" s="4" t="s">
        <v>255</v>
      </c>
      <c r="D9" s="1" t="s">
        <v>161</v>
      </c>
      <c r="E9" s="1">
        <v>7.0</v>
      </c>
      <c r="F9" s="1" t="s">
        <v>20</v>
      </c>
      <c r="G9" s="4" t="s">
        <v>33</v>
      </c>
      <c r="I9" s="1" t="s">
        <v>22</v>
      </c>
      <c r="J9" s="1"/>
      <c r="K9" s="1"/>
      <c r="L9" s="1">
        <v>0.0</v>
      </c>
      <c r="M9" s="1" t="s">
        <v>22</v>
      </c>
      <c r="N9" s="1">
        <v>7.0</v>
      </c>
      <c r="O9" s="1" t="s">
        <v>23</v>
      </c>
      <c r="P9" s="1">
        <v>2.0</v>
      </c>
      <c r="Q9" s="3">
        <v>200.0</v>
      </c>
    </row>
    <row r="10" ht="15.75" customHeight="1">
      <c r="A10" s="1" t="s">
        <v>242</v>
      </c>
      <c r="B10" s="4">
        <v>6.00410321E8</v>
      </c>
      <c r="C10" s="4" t="s">
        <v>256</v>
      </c>
      <c r="D10" s="1" t="s">
        <v>257</v>
      </c>
      <c r="E10" s="1">
        <v>7.0</v>
      </c>
      <c r="F10" s="1" t="s">
        <v>20</v>
      </c>
      <c r="G10" s="4" t="s">
        <v>33</v>
      </c>
      <c r="I10" s="1" t="s">
        <v>22</v>
      </c>
      <c r="J10" s="1"/>
      <c r="K10" s="1"/>
      <c r="L10" s="1">
        <v>0.0</v>
      </c>
      <c r="M10" s="1" t="s">
        <v>22</v>
      </c>
      <c r="N10" s="1">
        <v>3.0</v>
      </c>
      <c r="O10" s="1" t="s">
        <v>22</v>
      </c>
      <c r="P10" s="1">
        <f t="shared" ref="P10:P32" si="4">COUNTIF(I10:O10, "✔️")</f>
        <v>3</v>
      </c>
      <c r="Q10" s="3">
        <f t="shared" ref="Q10:Q32" si="5">IF(P10=1, 100, IF(P10=2, 200, IF(P10=3, 300, 0)))</f>
        <v>300</v>
      </c>
    </row>
    <row r="11" ht="15.75" customHeight="1">
      <c r="A11" s="1" t="s">
        <v>242</v>
      </c>
      <c r="B11" s="4">
        <v>6.00410839E8</v>
      </c>
      <c r="C11" s="4" t="s">
        <v>187</v>
      </c>
      <c r="D11" s="1" t="s">
        <v>258</v>
      </c>
      <c r="E11" s="1">
        <v>7.0</v>
      </c>
      <c r="F11" s="1" t="s">
        <v>20</v>
      </c>
      <c r="G11" s="4" t="s">
        <v>21</v>
      </c>
      <c r="I11" s="1" t="s">
        <v>22</v>
      </c>
      <c r="J11" s="1"/>
      <c r="K11" s="1"/>
      <c r="L11" s="1">
        <v>0.0</v>
      </c>
      <c r="M11" s="1" t="s">
        <v>22</v>
      </c>
      <c r="N11" s="1">
        <v>4.0</v>
      </c>
      <c r="O11" s="1" t="s">
        <v>23</v>
      </c>
      <c r="P11" s="1">
        <f t="shared" si="4"/>
        <v>2</v>
      </c>
      <c r="Q11" s="3">
        <f t="shared" si="5"/>
        <v>200</v>
      </c>
    </row>
    <row r="12" ht="15.75" customHeight="1">
      <c r="A12" s="1" t="s">
        <v>242</v>
      </c>
      <c r="B12" s="4">
        <v>6.00412879E8</v>
      </c>
      <c r="C12" s="4" t="s">
        <v>259</v>
      </c>
      <c r="D12" s="1" t="s">
        <v>260</v>
      </c>
      <c r="E12" s="1">
        <v>8.0</v>
      </c>
      <c r="F12" s="1" t="s">
        <v>55</v>
      </c>
      <c r="G12" s="4" t="s">
        <v>33</v>
      </c>
      <c r="I12" s="1" t="s">
        <v>22</v>
      </c>
      <c r="J12" s="1"/>
      <c r="K12" s="1"/>
      <c r="L12" s="1">
        <v>0.0</v>
      </c>
      <c r="M12" s="1" t="s">
        <v>22</v>
      </c>
      <c r="N12" s="1">
        <v>4.0</v>
      </c>
      <c r="O12" s="1" t="s">
        <v>23</v>
      </c>
      <c r="P12" s="1">
        <f t="shared" si="4"/>
        <v>2</v>
      </c>
      <c r="Q12" s="3">
        <f t="shared" si="5"/>
        <v>200</v>
      </c>
    </row>
    <row r="13" ht="15.75" customHeight="1">
      <c r="A13" s="1" t="s">
        <v>242</v>
      </c>
      <c r="B13" s="4">
        <v>6.0041153E8</v>
      </c>
      <c r="C13" s="4" t="s">
        <v>261</v>
      </c>
      <c r="D13" s="1" t="s">
        <v>262</v>
      </c>
      <c r="E13" s="1">
        <v>8.0</v>
      </c>
      <c r="F13" s="1" t="s">
        <v>20</v>
      </c>
      <c r="G13" s="4" t="s">
        <v>21</v>
      </c>
      <c r="I13" s="1" t="s">
        <v>22</v>
      </c>
      <c r="J13" s="1"/>
      <c r="K13" s="1"/>
      <c r="L13" s="1">
        <v>0.0</v>
      </c>
      <c r="M13" s="1" t="s">
        <v>22</v>
      </c>
      <c r="N13" s="1">
        <v>4.0</v>
      </c>
      <c r="O13" s="1" t="s">
        <v>23</v>
      </c>
      <c r="P13" s="1">
        <f t="shared" si="4"/>
        <v>2</v>
      </c>
      <c r="Q13" s="3">
        <f t="shared" si="5"/>
        <v>200</v>
      </c>
    </row>
    <row r="14" ht="15.75" customHeight="1">
      <c r="A14" s="1" t="s">
        <v>242</v>
      </c>
      <c r="B14" s="4">
        <v>6.00411987E8</v>
      </c>
      <c r="C14" s="4" t="s">
        <v>263</v>
      </c>
      <c r="D14" s="1" t="s">
        <v>264</v>
      </c>
      <c r="E14" s="1">
        <v>8.0</v>
      </c>
      <c r="F14" s="1" t="s">
        <v>55</v>
      </c>
      <c r="G14" s="4" t="s">
        <v>21</v>
      </c>
      <c r="I14" s="1" t="s">
        <v>22</v>
      </c>
      <c r="J14" s="1"/>
      <c r="K14" s="1"/>
      <c r="L14" s="1">
        <v>0.0</v>
      </c>
      <c r="M14" s="1" t="s">
        <v>22</v>
      </c>
      <c r="N14" s="1">
        <v>7.0</v>
      </c>
      <c r="O14" s="1" t="s">
        <v>23</v>
      </c>
      <c r="P14" s="1">
        <f t="shared" si="4"/>
        <v>2</v>
      </c>
      <c r="Q14" s="3">
        <f t="shared" si="5"/>
        <v>200</v>
      </c>
    </row>
    <row r="15" ht="15.75" customHeight="1">
      <c r="A15" s="1" t="s">
        <v>242</v>
      </c>
      <c r="B15" s="4">
        <v>6.00407666E8</v>
      </c>
      <c r="C15" s="4" t="s">
        <v>265</v>
      </c>
      <c r="D15" s="1" t="s">
        <v>266</v>
      </c>
      <c r="E15" s="1">
        <v>7.0</v>
      </c>
      <c r="F15" s="1" t="s">
        <v>20</v>
      </c>
      <c r="G15" s="4" t="s">
        <v>21</v>
      </c>
      <c r="I15" s="1" t="s">
        <v>22</v>
      </c>
      <c r="J15" s="1"/>
      <c r="K15" s="1"/>
      <c r="L15" s="1">
        <v>0.0</v>
      </c>
      <c r="M15" s="1" t="s">
        <v>22</v>
      </c>
      <c r="N15" s="1">
        <v>4.0</v>
      </c>
      <c r="O15" s="1" t="s">
        <v>23</v>
      </c>
      <c r="P15" s="1">
        <f t="shared" si="4"/>
        <v>2</v>
      </c>
      <c r="Q15" s="3">
        <f t="shared" si="5"/>
        <v>200</v>
      </c>
    </row>
    <row r="16" ht="15.75" customHeight="1">
      <c r="A16" s="1" t="s">
        <v>242</v>
      </c>
      <c r="B16" s="4">
        <v>6.00412563E8</v>
      </c>
      <c r="C16" s="4" t="s">
        <v>267</v>
      </c>
      <c r="D16" s="1" t="str">
        <f>MID(C16,FIND(",",C16) + 1 + 1,FIND(CHAR(160),SUBSTITUTE(C16," ",CHAR(160),2)) - 1 - (FIND(",",C16) + 1))</f>
        <v>Leah</v>
      </c>
      <c r="E16" s="1">
        <v>8.0</v>
      </c>
      <c r="F16" s="1" t="s">
        <v>55</v>
      </c>
      <c r="G16" s="4" t="s">
        <v>21</v>
      </c>
      <c r="I16" s="1" t="s">
        <v>22</v>
      </c>
      <c r="J16" s="1"/>
      <c r="K16" s="1"/>
      <c r="L16" s="1">
        <v>0.0</v>
      </c>
      <c r="M16" s="1" t="s">
        <v>22</v>
      </c>
      <c r="N16" s="1">
        <v>3.0</v>
      </c>
      <c r="O16" s="1" t="s">
        <v>22</v>
      </c>
      <c r="P16" s="1">
        <f t="shared" si="4"/>
        <v>3</v>
      </c>
      <c r="Q16" s="3">
        <f t="shared" si="5"/>
        <v>300</v>
      </c>
    </row>
    <row r="17" ht="15.75" customHeight="1">
      <c r="A17" s="1" t="s">
        <v>242</v>
      </c>
      <c r="B17" s="4">
        <v>6.00410084E8</v>
      </c>
      <c r="C17" s="4" t="s">
        <v>268</v>
      </c>
      <c r="D17" s="1" t="s">
        <v>269</v>
      </c>
      <c r="E17" s="1">
        <v>7.0</v>
      </c>
      <c r="F17" s="1" t="s">
        <v>55</v>
      </c>
      <c r="G17" s="4" t="s">
        <v>33</v>
      </c>
      <c r="I17" s="1" t="s">
        <v>22</v>
      </c>
      <c r="J17" s="1"/>
      <c r="K17" s="1"/>
      <c r="L17" s="1">
        <v>0.0</v>
      </c>
      <c r="M17" s="1" t="s">
        <v>22</v>
      </c>
      <c r="N17" s="1">
        <v>3.0</v>
      </c>
      <c r="O17" s="1" t="s">
        <v>22</v>
      </c>
      <c r="P17" s="1">
        <f t="shared" si="4"/>
        <v>3</v>
      </c>
      <c r="Q17" s="3">
        <f t="shared" si="5"/>
        <v>300</v>
      </c>
    </row>
    <row r="18" ht="15.75" customHeight="1">
      <c r="A18" s="1" t="s">
        <v>242</v>
      </c>
      <c r="B18" s="4">
        <v>6.00411926E8</v>
      </c>
      <c r="C18" s="4" t="s">
        <v>270</v>
      </c>
      <c r="D18" s="1" t="s">
        <v>271</v>
      </c>
      <c r="E18" s="1">
        <v>7.0</v>
      </c>
      <c r="F18" s="1" t="s">
        <v>20</v>
      </c>
      <c r="G18" s="4" t="s">
        <v>33</v>
      </c>
      <c r="I18" s="1" t="s">
        <v>22</v>
      </c>
      <c r="J18" s="1"/>
      <c r="K18" s="1"/>
      <c r="L18" s="1">
        <v>0.0</v>
      </c>
      <c r="M18" s="1" t="s">
        <v>22</v>
      </c>
      <c r="N18" s="1">
        <v>7.0</v>
      </c>
      <c r="O18" s="1" t="s">
        <v>23</v>
      </c>
      <c r="P18" s="1">
        <f t="shared" si="4"/>
        <v>2</v>
      </c>
      <c r="Q18" s="3">
        <f t="shared" si="5"/>
        <v>200</v>
      </c>
    </row>
    <row r="19" ht="15.75" customHeight="1">
      <c r="A19" s="1" t="s">
        <v>242</v>
      </c>
      <c r="B19" s="4">
        <v>6.00407373E8</v>
      </c>
      <c r="C19" s="4" t="s">
        <v>164</v>
      </c>
      <c r="D19" s="1" t="s">
        <v>272</v>
      </c>
      <c r="E19" s="1">
        <v>7.0</v>
      </c>
      <c r="F19" s="1" t="s">
        <v>20</v>
      </c>
      <c r="G19" s="4" t="s">
        <v>21</v>
      </c>
      <c r="I19" s="1" t="s">
        <v>22</v>
      </c>
      <c r="J19" s="1"/>
      <c r="K19" s="1"/>
      <c r="L19" s="1">
        <v>0.0</v>
      </c>
      <c r="M19" s="1" t="s">
        <v>22</v>
      </c>
      <c r="N19" s="1">
        <v>4.0</v>
      </c>
      <c r="O19" s="1" t="s">
        <v>23</v>
      </c>
      <c r="P19" s="1">
        <f t="shared" si="4"/>
        <v>2</v>
      </c>
      <c r="Q19" s="3">
        <f t="shared" si="5"/>
        <v>200</v>
      </c>
    </row>
    <row r="20" ht="15.75" customHeight="1">
      <c r="A20" s="1" t="s">
        <v>242</v>
      </c>
      <c r="B20" s="4">
        <v>6.00411539E8</v>
      </c>
      <c r="C20" s="4" t="s">
        <v>273</v>
      </c>
      <c r="D20" s="1" t="s">
        <v>274</v>
      </c>
      <c r="E20" s="1">
        <v>8.0</v>
      </c>
      <c r="F20" s="1" t="s">
        <v>20</v>
      </c>
      <c r="G20" s="4" t="s">
        <v>21</v>
      </c>
      <c r="I20" s="1" t="s">
        <v>22</v>
      </c>
      <c r="J20" s="1"/>
      <c r="K20" s="1"/>
      <c r="L20" s="1">
        <v>0.0</v>
      </c>
      <c r="M20" s="1" t="s">
        <v>22</v>
      </c>
      <c r="N20" s="1">
        <v>3.0</v>
      </c>
      <c r="O20" s="1" t="s">
        <v>22</v>
      </c>
      <c r="P20" s="1">
        <f t="shared" si="4"/>
        <v>3</v>
      </c>
      <c r="Q20" s="3">
        <f t="shared" si="5"/>
        <v>300</v>
      </c>
    </row>
    <row r="21" ht="15.75" customHeight="1">
      <c r="A21" s="1" t="s">
        <v>242</v>
      </c>
      <c r="B21" s="4">
        <v>6.00409662E8</v>
      </c>
      <c r="C21" s="4" t="s">
        <v>129</v>
      </c>
      <c r="D21" s="1" t="s">
        <v>275</v>
      </c>
      <c r="E21" s="1">
        <v>8.0</v>
      </c>
      <c r="F21" s="1" t="s">
        <v>20</v>
      </c>
      <c r="G21" s="4" t="s">
        <v>33</v>
      </c>
      <c r="I21" s="1" t="s">
        <v>22</v>
      </c>
      <c r="J21" s="1"/>
      <c r="K21" s="1"/>
      <c r="L21" s="1">
        <v>0.0</v>
      </c>
      <c r="M21" s="1" t="s">
        <v>22</v>
      </c>
      <c r="N21" s="1">
        <v>3.0</v>
      </c>
      <c r="O21" s="1" t="s">
        <v>22</v>
      </c>
      <c r="P21" s="1">
        <f t="shared" si="4"/>
        <v>3</v>
      </c>
      <c r="Q21" s="3">
        <f t="shared" si="5"/>
        <v>300</v>
      </c>
    </row>
    <row r="22" ht="15.75" customHeight="1">
      <c r="A22" s="1" t="s">
        <v>242</v>
      </c>
      <c r="B22" s="4">
        <v>6.00412746E8</v>
      </c>
      <c r="C22" s="4" t="s">
        <v>131</v>
      </c>
      <c r="D22" s="1" t="s">
        <v>276</v>
      </c>
      <c r="E22" s="1">
        <v>7.0</v>
      </c>
      <c r="F22" s="1" t="s">
        <v>20</v>
      </c>
      <c r="G22" s="4" t="s">
        <v>33</v>
      </c>
      <c r="I22" s="1" t="s">
        <v>22</v>
      </c>
      <c r="J22" s="1"/>
      <c r="K22" s="1"/>
      <c r="L22" s="1">
        <v>0.0</v>
      </c>
      <c r="M22" s="1" t="s">
        <v>22</v>
      </c>
      <c r="N22" s="1">
        <v>5.0</v>
      </c>
      <c r="O22" s="1" t="s">
        <v>23</v>
      </c>
      <c r="P22" s="1">
        <f t="shared" si="4"/>
        <v>2</v>
      </c>
      <c r="Q22" s="3">
        <f t="shared" si="5"/>
        <v>200</v>
      </c>
    </row>
    <row r="23" ht="15.75" customHeight="1">
      <c r="A23" s="1" t="s">
        <v>242</v>
      </c>
      <c r="B23" s="4">
        <v>6.00409411E8</v>
      </c>
      <c r="C23" s="4" t="s">
        <v>277</v>
      </c>
      <c r="D23" s="1" t="s">
        <v>278</v>
      </c>
      <c r="E23" s="1">
        <v>7.0</v>
      </c>
      <c r="F23" s="1" t="s">
        <v>20</v>
      </c>
      <c r="G23" s="4" t="s">
        <v>33</v>
      </c>
      <c r="I23" s="1" t="s">
        <v>22</v>
      </c>
      <c r="J23" s="1"/>
      <c r="K23" s="1"/>
      <c r="L23" s="1">
        <v>0.0</v>
      </c>
      <c r="M23" s="1" t="s">
        <v>22</v>
      </c>
      <c r="N23" s="1">
        <v>5.0</v>
      </c>
      <c r="O23" s="1" t="s">
        <v>23</v>
      </c>
      <c r="P23" s="1">
        <f t="shared" si="4"/>
        <v>2</v>
      </c>
      <c r="Q23" s="3">
        <f t="shared" si="5"/>
        <v>200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4"/>
        <v>0</v>
      </c>
      <c r="Q24" s="3">
        <f t="shared" si="5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4"/>
        <v>0</v>
      </c>
      <c r="Q25" s="3">
        <f t="shared" si="5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4"/>
        <v>0</v>
      </c>
      <c r="Q26" s="3">
        <f t="shared" si="5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4"/>
        <v>0</v>
      </c>
      <c r="Q27" s="3">
        <f t="shared" si="5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4"/>
        <v>0</v>
      </c>
      <c r="Q28" s="3">
        <f t="shared" si="5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4"/>
        <v>0</v>
      </c>
      <c r="Q29" s="3">
        <f t="shared" si="5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4"/>
        <v>0</v>
      </c>
      <c r="Q30" s="3">
        <f t="shared" si="5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4"/>
        <v>0</v>
      </c>
      <c r="Q31" s="3">
        <f t="shared" si="5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4"/>
        <v>0</v>
      </c>
      <c r="Q32" s="3">
        <f t="shared" si="5"/>
        <v>0</v>
      </c>
    </row>
    <row r="33" ht="15.75" customHeight="1">
      <c r="I33" s="1">
        <f t="shared" ref="I33:K33" si="6">COUNTIF(I2:I32, "✔️")</f>
        <v>22</v>
      </c>
      <c r="J33" s="1">
        <f t="shared" si="6"/>
        <v>0</v>
      </c>
      <c r="K33" s="1">
        <f t="shared" si="6"/>
        <v>0</v>
      </c>
      <c r="L33" s="1"/>
      <c r="M33" s="1">
        <f>COUNTIF(M2:M32, "✔️")</f>
        <v>22</v>
      </c>
      <c r="N33" s="1"/>
      <c r="O33" s="1">
        <f>COUNTIF(O2:O32, "✔️")</f>
        <v>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2">
    <cfRule type="notContainsBlanks" dxfId="0" priority="1">
      <formula>LEN(TRIM(I2))&gt;0</formula>
    </cfRule>
  </conditionalFormatting>
  <conditionalFormatting sqref="Q2:Q32">
    <cfRule type="notContainsBlanks" dxfId="0" priority="2">
      <formula>LEN(TRIM(Q2))&gt;0</formula>
    </cfRule>
  </conditionalFormatting>
  <dataValidations>
    <dataValidation type="list" allowBlank="1" showErrorMessage="1" sqref="I2:K32 M2:M32 O2:O32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242</v>
      </c>
      <c r="B2" s="4">
        <v>6.0041261E8</v>
      </c>
      <c r="C2" s="1" t="s">
        <v>279</v>
      </c>
      <c r="D2" s="1" t="s">
        <v>280</v>
      </c>
      <c r="E2" s="1">
        <v>7.0</v>
      </c>
      <c r="F2" s="1" t="s">
        <v>20</v>
      </c>
      <c r="G2" s="4" t="s">
        <v>21</v>
      </c>
      <c r="I2" s="1" t="s">
        <v>22</v>
      </c>
      <c r="J2" s="1" t="s">
        <v>23</v>
      </c>
      <c r="K2" s="1" t="s">
        <v>23</v>
      </c>
      <c r="L2" s="1">
        <v>0.0</v>
      </c>
      <c r="M2" s="1" t="s">
        <v>22</v>
      </c>
      <c r="N2" s="1">
        <v>10.0</v>
      </c>
      <c r="O2" s="1" t="s">
        <v>23</v>
      </c>
      <c r="P2" s="1">
        <f t="shared" ref="P2:P30" si="1">COUNTIF(I2:O2, "✔️")</f>
        <v>2</v>
      </c>
      <c r="Q2" s="3">
        <f t="shared" ref="Q2:Q30" si="2">IF(P2=1, 100, IF(P2=2, 200, IF(P2=3, 300, 0)))</f>
        <v>200</v>
      </c>
    </row>
    <row r="3" ht="15.75" customHeight="1">
      <c r="A3" s="1" t="s">
        <v>242</v>
      </c>
      <c r="B3" s="4">
        <v>6.00410503E8</v>
      </c>
      <c r="C3" s="1" t="s">
        <v>281</v>
      </c>
      <c r="D3" s="1" t="s">
        <v>282</v>
      </c>
      <c r="E3" s="1">
        <v>7.0</v>
      </c>
      <c r="F3" s="1" t="s">
        <v>20</v>
      </c>
      <c r="G3" s="4" t="s">
        <v>33</v>
      </c>
      <c r="I3" s="1" t="s">
        <v>22</v>
      </c>
      <c r="J3" s="1" t="s">
        <v>23</v>
      </c>
      <c r="K3" s="1" t="s">
        <v>23</v>
      </c>
      <c r="L3" s="1">
        <v>0.0</v>
      </c>
      <c r="M3" s="1" t="s">
        <v>23</v>
      </c>
      <c r="N3" s="1">
        <v>1.0</v>
      </c>
      <c r="O3" s="1" t="s">
        <v>22</v>
      </c>
      <c r="P3" s="1">
        <f t="shared" si="1"/>
        <v>2</v>
      </c>
      <c r="Q3" s="3">
        <f t="shared" si="2"/>
        <v>200</v>
      </c>
    </row>
    <row r="4" ht="15.75" customHeight="1">
      <c r="A4" s="1" t="s">
        <v>242</v>
      </c>
      <c r="B4" s="4">
        <v>6.00410494E8</v>
      </c>
      <c r="C4" s="1" t="s">
        <v>283</v>
      </c>
      <c r="D4" s="1" t="s">
        <v>284</v>
      </c>
      <c r="E4" s="1">
        <v>7.0</v>
      </c>
      <c r="F4" s="1" t="s">
        <v>55</v>
      </c>
      <c r="G4" s="4" t="s">
        <v>33</v>
      </c>
      <c r="I4" s="1" t="s">
        <v>22</v>
      </c>
      <c r="J4" s="1" t="s">
        <v>23</v>
      </c>
      <c r="K4" s="1" t="s">
        <v>23</v>
      </c>
      <c r="L4" s="1">
        <v>3.0</v>
      </c>
      <c r="M4" s="1" t="s">
        <v>23</v>
      </c>
      <c r="N4" s="1">
        <v>6.0</v>
      </c>
      <c r="O4" s="1" t="s">
        <v>23</v>
      </c>
      <c r="P4" s="1">
        <f t="shared" si="1"/>
        <v>1</v>
      </c>
      <c r="Q4" s="3">
        <f t="shared" si="2"/>
        <v>100</v>
      </c>
    </row>
    <row r="5" ht="15.75" customHeight="1">
      <c r="A5" s="1" t="s">
        <v>242</v>
      </c>
      <c r="B5" s="4">
        <v>6.00412788E8</v>
      </c>
      <c r="C5" s="1" t="s">
        <v>285</v>
      </c>
      <c r="D5" s="1" t="s">
        <v>286</v>
      </c>
      <c r="E5" s="1">
        <v>7.0</v>
      </c>
      <c r="F5" s="1" t="s">
        <v>20</v>
      </c>
      <c r="G5" s="4" t="s">
        <v>21</v>
      </c>
      <c r="I5" s="1" t="s">
        <v>22</v>
      </c>
      <c r="J5" s="1" t="s">
        <v>23</v>
      </c>
      <c r="K5" s="1" t="s">
        <v>23</v>
      </c>
      <c r="L5" s="1">
        <v>2.0</v>
      </c>
      <c r="M5" s="1" t="s">
        <v>23</v>
      </c>
      <c r="N5" s="1">
        <v>5.0</v>
      </c>
      <c r="O5" s="1" t="s">
        <v>23</v>
      </c>
      <c r="P5" s="1">
        <f t="shared" si="1"/>
        <v>1</v>
      </c>
      <c r="Q5" s="3">
        <f t="shared" si="2"/>
        <v>100</v>
      </c>
    </row>
    <row r="6" ht="15.75" customHeight="1">
      <c r="A6" s="1" t="s">
        <v>242</v>
      </c>
      <c r="B6" s="4">
        <v>6.00407908E8</v>
      </c>
      <c r="C6" s="1" t="s">
        <v>287</v>
      </c>
      <c r="D6" s="1" t="s">
        <v>288</v>
      </c>
      <c r="E6" s="1">
        <v>7.0</v>
      </c>
      <c r="F6" s="1" t="s">
        <v>289</v>
      </c>
      <c r="G6" s="4" t="s">
        <v>33</v>
      </c>
      <c r="I6" s="1" t="s">
        <v>22</v>
      </c>
      <c r="J6" s="1" t="s">
        <v>23</v>
      </c>
      <c r="K6" s="1" t="s">
        <v>23</v>
      </c>
      <c r="L6" s="1">
        <v>0.0</v>
      </c>
      <c r="M6" s="1" t="s">
        <v>22</v>
      </c>
      <c r="N6" s="1">
        <v>4.0</v>
      </c>
      <c r="O6" s="1" t="s">
        <v>23</v>
      </c>
      <c r="P6" s="1">
        <f t="shared" si="1"/>
        <v>2</v>
      </c>
      <c r="Q6" s="3">
        <f t="shared" si="2"/>
        <v>200</v>
      </c>
    </row>
    <row r="7" ht="15.75" customHeight="1">
      <c r="A7" s="1" t="s">
        <v>242</v>
      </c>
      <c r="B7" s="4">
        <v>6.00407231E8</v>
      </c>
      <c r="C7" s="1" t="s">
        <v>290</v>
      </c>
      <c r="D7" s="1" t="s">
        <v>291</v>
      </c>
      <c r="E7" s="1">
        <v>7.0</v>
      </c>
      <c r="F7" s="1" t="s">
        <v>20</v>
      </c>
      <c r="G7" s="4" t="s">
        <v>21</v>
      </c>
      <c r="I7" s="1" t="s">
        <v>22</v>
      </c>
      <c r="J7" s="1" t="s">
        <v>23</v>
      </c>
      <c r="K7" s="1" t="s">
        <v>23</v>
      </c>
      <c r="L7" s="1">
        <v>0.0</v>
      </c>
      <c r="M7" s="1" t="s">
        <v>23</v>
      </c>
      <c r="N7" s="1">
        <v>8.0</v>
      </c>
      <c r="O7" s="1" t="s">
        <v>23</v>
      </c>
      <c r="P7" s="1">
        <f t="shared" si="1"/>
        <v>1</v>
      </c>
      <c r="Q7" s="3">
        <f t="shared" si="2"/>
        <v>100</v>
      </c>
    </row>
    <row r="8" ht="15.75" customHeight="1">
      <c r="A8" s="1" t="s">
        <v>242</v>
      </c>
      <c r="B8" s="4">
        <v>6.00410885E8</v>
      </c>
      <c r="C8" s="1" t="s">
        <v>292</v>
      </c>
      <c r="D8" s="1" t="s">
        <v>293</v>
      </c>
      <c r="E8" s="1">
        <v>8.0</v>
      </c>
      <c r="F8" s="1" t="s">
        <v>20</v>
      </c>
      <c r="G8" s="4" t="s">
        <v>33</v>
      </c>
      <c r="I8" s="1" t="s">
        <v>22</v>
      </c>
      <c r="J8" s="1" t="s">
        <v>23</v>
      </c>
      <c r="K8" s="1" t="s">
        <v>23</v>
      </c>
      <c r="L8" s="1">
        <v>2.0</v>
      </c>
      <c r="M8" s="1" t="s">
        <v>23</v>
      </c>
      <c r="N8" s="1">
        <v>14.0</v>
      </c>
      <c r="O8" s="1" t="s">
        <v>23</v>
      </c>
      <c r="P8" s="1">
        <f t="shared" si="1"/>
        <v>1</v>
      </c>
      <c r="Q8" s="3">
        <f t="shared" si="2"/>
        <v>100</v>
      </c>
    </row>
    <row r="9" ht="15.75" customHeight="1">
      <c r="A9" s="1" t="s">
        <v>242</v>
      </c>
      <c r="B9" s="4">
        <v>6.00410512E8</v>
      </c>
      <c r="C9" s="1" t="s">
        <v>113</v>
      </c>
      <c r="D9" s="1" t="s">
        <v>294</v>
      </c>
      <c r="E9" s="1">
        <v>8.0</v>
      </c>
      <c r="F9" s="1" t="s">
        <v>20</v>
      </c>
      <c r="G9" s="4" t="s">
        <v>33</v>
      </c>
      <c r="I9" s="1" t="s">
        <v>22</v>
      </c>
      <c r="J9" s="1" t="s">
        <v>23</v>
      </c>
      <c r="K9" s="1" t="s">
        <v>23</v>
      </c>
      <c r="L9" s="1">
        <v>0.0</v>
      </c>
      <c r="M9" s="1" t="s">
        <v>22</v>
      </c>
      <c r="N9" s="1">
        <v>17.0</v>
      </c>
      <c r="O9" s="1" t="s">
        <v>23</v>
      </c>
      <c r="P9" s="1">
        <f t="shared" si="1"/>
        <v>2</v>
      </c>
      <c r="Q9" s="3">
        <f t="shared" si="2"/>
        <v>200</v>
      </c>
    </row>
    <row r="10" ht="15.75" customHeight="1">
      <c r="A10" s="1" t="s">
        <v>242</v>
      </c>
      <c r="B10" s="4">
        <v>6.00410491E8</v>
      </c>
      <c r="C10" s="1" t="s">
        <v>82</v>
      </c>
      <c r="D10" s="1" t="s">
        <v>295</v>
      </c>
      <c r="E10" s="1">
        <v>7.0</v>
      </c>
      <c r="F10" s="1" t="s">
        <v>20</v>
      </c>
      <c r="G10" s="4" t="s">
        <v>21</v>
      </c>
      <c r="I10" s="1" t="s">
        <v>22</v>
      </c>
      <c r="J10" s="1" t="s">
        <v>23</v>
      </c>
      <c r="K10" s="1" t="s">
        <v>23</v>
      </c>
      <c r="L10" s="1">
        <v>0.0</v>
      </c>
      <c r="M10" s="1" t="s">
        <v>22</v>
      </c>
      <c r="N10" s="1">
        <v>11.0</v>
      </c>
      <c r="O10" s="1" t="s">
        <v>23</v>
      </c>
      <c r="P10" s="1">
        <f t="shared" si="1"/>
        <v>2</v>
      </c>
      <c r="Q10" s="3">
        <f t="shared" si="2"/>
        <v>200</v>
      </c>
    </row>
    <row r="11" ht="15.75" customHeight="1">
      <c r="A11" s="1" t="s">
        <v>242</v>
      </c>
      <c r="B11" s="4">
        <v>6.00407395E8</v>
      </c>
      <c r="C11" s="1" t="s">
        <v>43</v>
      </c>
      <c r="D11" s="1" t="s">
        <v>296</v>
      </c>
      <c r="E11" s="1">
        <v>7.0</v>
      </c>
      <c r="F11" s="1" t="s">
        <v>20</v>
      </c>
      <c r="G11" s="4" t="s">
        <v>21</v>
      </c>
      <c r="I11" s="1" t="s">
        <v>22</v>
      </c>
      <c r="J11" s="1" t="s">
        <v>23</v>
      </c>
      <c r="K11" s="1" t="s">
        <v>23</v>
      </c>
      <c r="L11" s="1">
        <v>0.0</v>
      </c>
      <c r="M11" s="1" t="s">
        <v>22</v>
      </c>
      <c r="N11" s="1">
        <v>6.0</v>
      </c>
      <c r="O11" s="1" t="s">
        <v>23</v>
      </c>
      <c r="P11" s="1">
        <f t="shared" si="1"/>
        <v>2</v>
      </c>
      <c r="Q11" s="3">
        <f t="shared" si="2"/>
        <v>200</v>
      </c>
    </row>
    <row r="12" ht="15.75" customHeight="1">
      <c r="A12" s="1" t="s">
        <v>242</v>
      </c>
      <c r="B12" s="4">
        <v>6.00410456E8</v>
      </c>
      <c r="C12" s="1" t="s">
        <v>297</v>
      </c>
      <c r="D12" s="1" t="s">
        <v>298</v>
      </c>
      <c r="E12" s="1">
        <v>7.0</v>
      </c>
      <c r="F12" s="1" t="s">
        <v>20</v>
      </c>
      <c r="G12" s="4" t="s">
        <v>33</v>
      </c>
      <c r="I12" s="1" t="s">
        <v>22</v>
      </c>
      <c r="J12" s="1" t="s">
        <v>23</v>
      </c>
      <c r="K12" s="1" t="s">
        <v>23</v>
      </c>
      <c r="L12" s="1">
        <v>0.0</v>
      </c>
      <c r="M12" s="1" t="s">
        <v>22</v>
      </c>
      <c r="N12" s="1">
        <v>4.0</v>
      </c>
      <c r="O12" s="1" t="s">
        <v>23</v>
      </c>
      <c r="P12" s="1">
        <f t="shared" si="1"/>
        <v>2</v>
      </c>
      <c r="Q12" s="3">
        <f t="shared" si="2"/>
        <v>200</v>
      </c>
    </row>
    <row r="13" ht="15.75" customHeight="1">
      <c r="A13" s="1" t="s">
        <v>242</v>
      </c>
      <c r="B13" s="4">
        <v>6.0040996E8</v>
      </c>
      <c r="C13" s="1" t="s">
        <v>299</v>
      </c>
      <c r="D13" s="1" t="s">
        <v>223</v>
      </c>
      <c r="E13" s="1">
        <v>8.0</v>
      </c>
      <c r="F13" s="1" t="s">
        <v>20</v>
      </c>
      <c r="G13" s="4" t="s">
        <v>33</v>
      </c>
      <c r="I13" s="1" t="s">
        <v>22</v>
      </c>
      <c r="J13" s="1" t="s">
        <v>23</v>
      </c>
      <c r="K13" s="1" t="s">
        <v>23</v>
      </c>
      <c r="L13" s="1">
        <v>0.0</v>
      </c>
      <c r="M13" s="1" t="s">
        <v>22</v>
      </c>
      <c r="N13" s="1">
        <v>16.5</v>
      </c>
      <c r="O13" s="1" t="s">
        <v>23</v>
      </c>
      <c r="P13" s="1">
        <f t="shared" si="1"/>
        <v>2</v>
      </c>
      <c r="Q13" s="3">
        <f t="shared" si="2"/>
        <v>200</v>
      </c>
    </row>
    <row r="14" ht="15.75" customHeight="1">
      <c r="A14" s="1" t="s">
        <v>242</v>
      </c>
      <c r="B14" s="4">
        <v>6.00410539E8</v>
      </c>
      <c r="C14" s="1" t="s">
        <v>300</v>
      </c>
      <c r="D14" s="1" t="s">
        <v>301</v>
      </c>
      <c r="E14" s="1">
        <v>7.0</v>
      </c>
      <c r="F14" s="1" t="s">
        <v>20</v>
      </c>
      <c r="G14" s="4" t="s">
        <v>21</v>
      </c>
      <c r="I14" s="1" t="s">
        <v>22</v>
      </c>
      <c r="J14" s="1" t="s">
        <v>23</v>
      </c>
      <c r="K14" s="1" t="s">
        <v>23</v>
      </c>
      <c r="L14" s="1">
        <v>0.0</v>
      </c>
      <c r="M14" s="1" t="s">
        <v>22</v>
      </c>
      <c r="N14" s="1">
        <v>11.0</v>
      </c>
      <c r="O14" s="1" t="s">
        <v>23</v>
      </c>
      <c r="P14" s="1">
        <f t="shared" si="1"/>
        <v>2</v>
      </c>
      <c r="Q14" s="3">
        <f t="shared" si="2"/>
        <v>200</v>
      </c>
    </row>
    <row r="15" ht="15.75" customHeight="1">
      <c r="A15" s="1" t="s">
        <v>242</v>
      </c>
      <c r="B15" s="4">
        <v>6.00410077E8</v>
      </c>
      <c r="C15" s="1" t="s">
        <v>302</v>
      </c>
      <c r="D15" s="1" t="s">
        <v>303</v>
      </c>
      <c r="E15" s="1">
        <v>7.0</v>
      </c>
      <c r="F15" s="1" t="s">
        <v>20</v>
      </c>
      <c r="G15" s="4" t="s">
        <v>33</v>
      </c>
      <c r="I15" s="1" t="s">
        <v>22</v>
      </c>
      <c r="J15" s="1" t="s">
        <v>23</v>
      </c>
      <c r="K15" s="1" t="s">
        <v>23</v>
      </c>
      <c r="L15" s="1">
        <v>2.0</v>
      </c>
      <c r="M15" s="1" t="s">
        <v>22</v>
      </c>
      <c r="N15" s="1">
        <v>5.0</v>
      </c>
      <c r="O15" s="1" t="s">
        <v>23</v>
      </c>
      <c r="P15" s="1">
        <f t="shared" si="1"/>
        <v>2</v>
      </c>
      <c r="Q15" s="3">
        <f t="shared" si="2"/>
        <v>200</v>
      </c>
    </row>
    <row r="16" ht="15.75" customHeight="1">
      <c r="A16" s="1" t="s">
        <v>242</v>
      </c>
      <c r="B16" s="4">
        <v>6.0041008E8</v>
      </c>
      <c r="C16" s="1" t="s">
        <v>304</v>
      </c>
      <c r="D16" s="1" t="s">
        <v>305</v>
      </c>
      <c r="E16" s="1">
        <v>7.0</v>
      </c>
      <c r="F16" s="1" t="s">
        <v>20</v>
      </c>
      <c r="G16" s="4" t="s">
        <v>33</v>
      </c>
      <c r="I16" s="1" t="s">
        <v>22</v>
      </c>
      <c r="J16" s="1" t="s">
        <v>23</v>
      </c>
      <c r="K16" s="1" t="s">
        <v>23</v>
      </c>
      <c r="L16" s="1">
        <v>0.0</v>
      </c>
      <c r="M16" s="1" t="s">
        <v>23</v>
      </c>
      <c r="N16" s="1">
        <v>3.0</v>
      </c>
      <c r="O16" s="1" t="s">
        <v>22</v>
      </c>
      <c r="P16" s="1">
        <f t="shared" si="1"/>
        <v>2</v>
      </c>
      <c r="Q16" s="3">
        <f t="shared" si="2"/>
        <v>200</v>
      </c>
    </row>
    <row r="17" ht="15.75" customHeight="1">
      <c r="A17" s="1" t="s">
        <v>242</v>
      </c>
      <c r="B17" s="4">
        <v>6.00408135E8</v>
      </c>
      <c r="C17" s="1" t="s">
        <v>306</v>
      </c>
      <c r="D17" s="1" t="s">
        <v>307</v>
      </c>
      <c r="E17" s="1">
        <v>7.0</v>
      </c>
      <c r="F17" s="1" t="s">
        <v>20</v>
      </c>
      <c r="G17" s="4" t="s">
        <v>21</v>
      </c>
      <c r="I17" s="1" t="s">
        <v>22</v>
      </c>
      <c r="J17" s="1" t="s">
        <v>23</v>
      </c>
      <c r="K17" s="1" t="s">
        <v>23</v>
      </c>
      <c r="L17" s="1">
        <v>3.0</v>
      </c>
      <c r="M17" s="1" t="s">
        <v>23</v>
      </c>
      <c r="N17" s="1">
        <v>3.0</v>
      </c>
      <c r="O17" s="1" t="s">
        <v>22</v>
      </c>
      <c r="P17" s="1">
        <f t="shared" si="1"/>
        <v>2</v>
      </c>
      <c r="Q17" s="3">
        <f t="shared" si="2"/>
        <v>200</v>
      </c>
    </row>
    <row r="18" ht="15.75" customHeight="1">
      <c r="A18" s="1" t="s">
        <v>242</v>
      </c>
      <c r="B18" s="4">
        <v>6.00410708E8</v>
      </c>
      <c r="C18" s="1" t="s">
        <v>308</v>
      </c>
      <c r="D18" s="1" t="s">
        <v>309</v>
      </c>
      <c r="E18" s="1">
        <v>7.0</v>
      </c>
      <c r="F18" s="1" t="s">
        <v>55</v>
      </c>
      <c r="G18" s="4" t="s">
        <v>21</v>
      </c>
      <c r="I18" s="1" t="s">
        <v>22</v>
      </c>
      <c r="J18" s="1" t="s">
        <v>23</v>
      </c>
      <c r="K18" s="1" t="s">
        <v>23</v>
      </c>
      <c r="L18" s="1">
        <v>1.0</v>
      </c>
      <c r="M18" s="1" t="s">
        <v>22</v>
      </c>
      <c r="N18" s="1">
        <v>8.0</v>
      </c>
      <c r="O18" s="1" t="s">
        <v>23</v>
      </c>
      <c r="P18" s="1">
        <f t="shared" si="1"/>
        <v>2</v>
      </c>
      <c r="Q18" s="3">
        <f t="shared" si="2"/>
        <v>200</v>
      </c>
    </row>
    <row r="19" ht="15.75" customHeight="1">
      <c r="A19" s="1" t="s">
        <v>242</v>
      </c>
      <c r="B19" s="4">
        <v>6.00409408E8</v>
      </c>
      <c r="C19" s="1" t="s">
        <v>310</v>
      </c>
      <c r="D19" s="1" t="s">
        <v>311</v>
      </c>
      <c r="E19" s="1">
        <v>7.0</v>
      </c>
      <c r="F19" s="1" t="s">
        <v>20</v>
      </c>
      <c r="G19" s="4" t="s">
        <v>33</v>
      </c>
      <c r="I19" s="1" t="s">
        <v>22</v>
      </c>
      <c r="J19" s="1" t="s">
        <v>23</v>
      </c>
      <c r="K19" s="1" t="s">
        <v>23</v>
      </c>
      <c r="L19" s="1">
        <v>2.0</v>
      </c>
      <c r="M19" s="1" t="s">
        <v>22</v>
      </c>
      <c r="N19" s="1">
        <v>6.0</v>
      </c>
      <c r="O19" s="1" t="s">
        <v>23</v>
      </c>
      <c r="P19" s="1">
        <f t="shared" si="1"/>
        <v>2</v>
      </c>
      <c r="Q19" s="3">
        <f t="shared" si="2"/>
        <v>200</v>
      </c>
    </row>
    <row r="20" ht="15.75" customHeight="1">
      <c r="A20" s="1" t="s">
        <v>242</v>
      </c>
      <c r="B20" s="4">
        <v>6.00409314E8</v>
      </c>
      <c r="C20" s="1" t="s">
        <v>312</v>
      </c>
      <c r="D20" s="1" t="s">
        <v>313</v>
      </c>
      <c r="E20" s="1">
        <v>7.0</v>
      </c>
      <c r="F20" s="1" t="s">
        <v>42</v>
      </c>
      <c r="G20" s="4" t="s">
        <v>33</v>
      </c>
      <c r="I20" s="1" t="s">
        <v>22</v>
      </c>
      <c r="J20" s="1" t="s">
        <v>23</v>
      </c>
      <c r="K20" s="1" t="s">
        <v>23</v>
      </c>
      <c r="L20" s="1">
        <v>7.0</v>
      </c>
      <c r="M20" s="1" t="s">
        <v>23</v>
      </c>
      <c r="N20" s="1">
        <v>7.0</v>
      </c>
      <c r="O20" s="1" t="s">
        <v>23</v>
      </c>
      <c r="P20" s="1">
        <f t="shared" si="1"/>
        <v>1</v>
      </c>
      <c r="Q20" s="3">
        <f t="shared" si="2"/>
        <v>100</v>
      </c>
    </row>
    <row r="21" ht="15.75" customHeight="1">
      <c r="A21" s="1" t="s">
        <v>242</v>
      </c>
      <c r="B21" s="4">
        <v>6.00412783E8</v>
      </c>
      <c r="C21" s="1" t="s">
        <v>131</v>
      </c>
      <c r="D21" s="1" t="s">
        <v>314</v>
      </c>
      <c r="E21" s="1">
        <v>7.0</v>
      </c>
      <c r="F21" s="1" t="s">
        <v>20</v>
      </c>
      <c r="G21" s="4" t="s">
        <v>21</v>
      </c>
      <c r="I21" s="1" t="s">
        <v>22</v>
      </c>
      <c r="J21" s="1" t="s">
        <v>23</v>
      </c>
      <c r="K21" s="1" t="s">
        <v>23</v>
      </c>
      <c r="L21" s="1">
        <v>0.0</v>
      </c>
      <c r="M21" s="1" t="s">
        <v>22</v>
      </c>
      <c r="N21" s="1">
        <v>3.0</v>
      </c>
      <c r="O21" s="1" t="s">
        <v>22</v>
      </c>
      <c r="P21" s="1">
        <f t="shared" si="1"/>
        <v>3</v>
      </c>
      <c r="Q21" s="3">
        <f t="shared" si="2"/>
        <v>300</v>
      </c>
    </row>
    <row r="22" ht="15.75" customHeight="1">
      <c r="B22" s="4">
        <v>6.00409287E8</v>
      </c>
      <c r="C22" s="1" t="s">
        <v>315</v>
      </c>
      <c r="D22" s="1" t="s">
        <v>316</v>
      </c>
      <c r="E22" s="1">
        <v>7.0</v>
      </c>
      <c r="F22" s="1" t="s">
        <v>20</v>
      </c>
      <c r="G22" s="4" t="s">
        <v>33</v>
      </c>
      <c r="I22" s="1" t="s">
        <v>22</v>
      </c>
      <c r="J22" s="1" t="s">
        <v>23</v>
      </c>
      <c r="K22" s="1" t="s">
        <v>23</v>
      </c>
      <c r="L22" s="1">
        <v>2.0</v>
      </c>
      <c r="M22" s="1" t="s">
        <v>22</v>
      </c>
      <c r="N22" s="1">
        <v>13.0</v>
      </c>
      <c r="O22" s="1" t="s">
        <v>23</v>
      </c>
      <c r="P22" s="1">
        <f t="shared" si="1"/>
        <v>2</v>
      </c>
      <c r="Q22" s="3">
        <f t="shared" si="2"/>
        <v>200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1"/>
        <v>0</v>
      </c>
      <c r="Q23" s="3">
        <f t="shared" si="2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1"/>
        <v>0</v>
      </c>
      <c r="Q24" s="3">
        <f t="shared" si="2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1"/>
        <v>0</v>
      </c>
      <c r="Q25" s="3">
        <f t="shared" si="2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1"/>
        <v>0</v>
      </c>
      <c r="Q26" s="3">
        <f t="shared" si="2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1"/>
        <v>0</v>
      </c>
      <c r="Q27" s="3">
        <f t="shared" si="2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1"/>
        <v>0</v>
      </c>
      <c r="Q28" s="3">
        <f t="shared" si="2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1"/>
        <v>0</v>
      </c>
      <c r="Q29" s="3">
        <f t="shared" si="2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1"/>
        <v>0</v>
      </c>
      <c r="Q30" s="3">
        <f t="shared" si="2"/>
        <v>0</v>
      </c>
    </row>
    <row r="31" ht="15.75" customHeight="1">
      <c r="I31" s="1">
        <f t="shared" ref="I31:K31" si="3">COUNTIF(I2:I30, "✔️")</f>
        <v>21</v>
      </c>
      <c r="J31" s="1">
        <f t="shared" si="3"/>
        <v>0</v>
      </c>
      <c r="K31" s="1">
        <f t="shared" si="3"/>
        <v>0</v>
      </c>
      <c r="L31" s="1"/>
      <c r="M31" s="1">
        <f>COUNTIF(M2:M30, "✔️")</f>
        <v>13</v>
      </c>
      <c r="N31" s="1"/>
      <c r="O31" s="1">
        <f>COUNTIF(O2:O30, "✔️")</f>
        <v>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0">
    <cfRule type="notContainsBlanks" dxfId="0" priority="1">
      <formula>LEN(TRIM(I2))&gt;0</formula>
    </cfRule>
  </conditionalFormatting>
  <conditionalFormatting sqref="Q2:Q30">
    <cfRule type="notContainsBlanks" dxfId="0" priority="2">
      <formula>LEN(TRIM(Q2))&gt;0</formula>
    </cfRule>
  </conditionalFormatting>
  <dataValidations>
    <dataValidation type="list" allowBlank="1" showErrorMessage="1" sqref="I2:K30 M2:M30 O2:O30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242</v>
      </c>
      <c r="B2" s="4">
        <v>6.00410517E8</v>
      </c>
      <c r="C2" s="1" t="s">
        <v>317</v>
      </c>
      <c r="D2" s="1" t="s">
        <v>318</v>
      </c>
      <c r="E2" s="1">
        <v>7.0</v>
      </c>
      <c r="F2" s="1" t="s">
        <v>20</v>
      </c>
      <c r="G2" s="4" t="s">
        <v>21</v>
      </c>
      <c r="I2" s="1" t="s">
        <v>22</v>
      </c>
      <c r="J2" s="1" t="s">
        <v>23</v>
      </c>
      <c r="K2" s="1" t="s">
        <v>23</v>
      </c>
      <c r="L2" s="1">
        <v>6.0</v>
      </c>
      <c r="M2" s="1" t="s">
        <v>23</v>
      </c>
      <c r="N2" s="1"/>
      <c r="O2" s="1" t="s">
        <v>23</v>
      </c>
      <c r="P2" s="1">
        <f t="shared" ref="P2:P12" si="1">COUNTIF(I2:O2, "✔️")</f>
        <v>1</v>
      </c>
      <c r="Q2" s="3">
        <f t="shared" ref="Q2:Q19" si="2">IF(P2=1, 100, IF(P2=2, 200, IF(P2=3, 300, 0)))</f>
        <v>100</v>
      </c>
    </row>
    <row r="3" ht="15.75" customHeight="1">
      <c r="A3" s="1" t="s">
        <v>242</v>
      </c>
      <c r="B3" s="4">
        <v>6.00408749E8</v>
      </c>
      <c r="C3" s="1" t="s">
        <v>319</v>
      </c>
      <c r="D3" s="1" t="s">
        <v>320</v>
      </c>
      <c r="E3" s="1">
        <v>7.0</v>
      </c>
      <c r="F3" s="1" t="s">
        <v>20</v>
      </c>
      <c r="G3" s="4" t="s">
        <v>21</v>
      </c>
      <c r="I3" s="1" t="s">
        <v>22</v>
      </c>
      <c r="J3" s="1" t="s">
        <v>23</v>
      </c>
      <c r="K3" s="1" t="s">
        <v>23</v>
      </c>
      <c r="L3" s="1">
        <v>3.0</v>
      </c>
      <c r="M3" s="1" t="s">
        <v>23</v>
      </c>
      <c r="N3" s="1"/>
      <c r="O3" s="1" t="s">
        <v>22</v>
      </c>
      <c r="P3" s="1">
        <f t="shared" si="1"/>
        <v>2</v>
      </c>
      <c r="Q3" s="3">
        <f t="shared" si="2"/>
        <v>200</v>
      </c>
    </row>
    <row r="4" ht="15.75" customHeight="1">
      <c r="A4" s="1" t="s">
        <v>242</v>
      </c>
      <c r="B4" s="4">
        <v>6.00408795E8</v>
      </c>
      <c r="C4" s="1" t="s">
        <v>69</v>
      </c>
      <c r="D4" s="1" t="s">
        <v>321</v>
      </c>
      <c r="E4" s="1">
        <v>8.0</v>
      </c>
      <c r="F4" s="1" t="s">
        <v>20</v>
      </c>
      <c r="G4" s="4" t="s">
        <v>33</v>
      </c>
      <c r="I4" s="1" t="s">
        <v>22</v>
      </c>
      <c r="J4" s="1" t="s">
        <v>23</v>
      </c>
      <c r="K4" s="1" t="s">
        <v>22</v>
      </c>
      <c r="L4" s="1"/>
      <c r="M4" s="1" t="s">
        <v>22</v>
      </c>
      <c r="N4" s="1"/>
      <c r="O4" s="1" t="s">
        <v>23</v>
      </c>
      <c r="P4" s="1">
        <f t="shared" si="1"/>
        <v>3</v>
      </c>
      <c r="Q4" s="3">
        <f t="shared" si="2"/>
        <v>300</v>
      </c>
    </row>
    <row r="5" ht="15.75" customHeight="1">
      <c r="A5" s="1" t="s">
        <v>242</v>
      </c>
      <c r="B5" s="4">
        <v>6.00411916E8</v>
      </c>
      <c r="C5" s="1" t="s">
        <v>322</v>
      </c>
      <c r="D5" s="1" t="s">
        <v>323</v>
      </c>
      <c r="E5" s="1">
        <v>7.0</v>
      </c>
      <c r="F5" s="1" t="s">
        <v>55</v>
      </c>
      <c r="G5" s="4" t="s">
        <v>33</v>
      </c>
      <c r="I5" s="1" t="s">
        <v>22</v>
      </c>
      <c r="J5" s="1" t="s">
        <v>23</v>
      </c>
      <c r="K5" s="1" t="s">
        <v>23</v>
      </c>
      <c r="L5" s="1">
        <v>3.0</v>
      </c>
      <c r="M5" s="1" t="s">
        <v>23</v>
      </c>
      <c r="N5" s="1"/>
      <c r="O5" s="1" t="s">
        <v>23</v>
      </c>
      <c r="P5" s="1">
        <f t="shared" si="1"/>
        <v>1</v>
      </c>
      <c r="Q5" s="3">
        <f t="shared" si="2"/>
        <v>100</v>
      </c>
    </row>
    <row r="6" ht="15.75" customHeight="1">
      <c r="A6" s="1" t="s">
        <v>242</v>
      </c>
      <c r="B6" s="4">
        <v>6.00409364E8</v>
      </c>
      <c r="C6" s="1" t="s">
        <v>324</v>
      </c>
      <c r="D6" s="1" t="s">
        <v>325</v>
      </c>
      <c r="E6" s="1">
        <v>7.0</v>
      </c>
      <c r="F6" s="1" t="s">
        <v>55</v>
      </c>
      <c r="G6" s="4" t="s">
        <v>21</v>
      </c>
      <c r="I6" s="1" t="s">
        <v>22</v>
      </c>
      <c r="J6" s="1" t="s">
        <v>23</v>
      </c>
      <c r="K6" s="1" t="s">
        <v>23</v>
      </c>
      <c r="L6" s="1">
        <v>3.0</v>
      </c>
      <c r="M6" s="1" t="s">
        <v>23</v>
      </c>
      <c r="N6" s="1"/>
      <c r="O6" s="1" t="s">
        <v>23</v>
      </c>
      <c r="P6" s="1">
        <f t="shared" si="1"/>
        <v>1</v>
      </c>
      <c r="Q6" s="3">
        <f t="shared" si="2"/>
        <v>100</v>
      </c>
    </row>
    <row r="7" ht="15.75" customHeight="1">
      <c r="A7" s="1" t="s">
        <v>242</v>
      </c>
      <c r="B7" s="4">
        <v>6.00408827E8</v>
      </c>
      <c r="C7" s="1" t="s">
        <v>29</v>
      </c>
      <c r="D7" s="1" t="s">
        <v>326</v>
      </c>
      <c r="E7" s="1">
        <v>7.0</v>
      </c>
      <c r="F7" s="1" t="s">
        <v>20</v>
      </c>
      <c r="G7" s="4" t="s">
        <v>33</v>
      </c>
      <c r="I7" s="1" t="s">
        <v>22</v>
      </c>
      <c r="J7" s="1" t="s">
        <v>23</v>
      </c>
      <c r="K7" s="1" t="s">
        <v>22</v>
      </c>
      <c r="L7" s="1">
        <v>3.0</v>
      </c>
      <c r="M7" s="1" t="s">
        <v>23</v>
      </c>
      <c r="N7" s="1"/>
      <c r="O7" s="1" t="s">
        <v>23</v>
      </c>
      <c r="P7" s="1">
        <f t="shared" si="1"/>
        <v>2</v>
      </c>
      <c r="Q7" s="3">
        <f t="shared" si="2"/>
        <v>200</v>
      </c>
    </row>
    <row r="8" ht="15.75" customHeight="1">
      <c r="A8" s="1" t="s">
        <v>242</v>
      </c>
      <c r="B8" s="4">
        <v>6.00411858E8</v>
      </c>
      <c r="C8" s="1" t="s">
        <v>327</v>
      </c>
      <c r="D8" s="1" t="s">
        <v>328</v>
      </c>
      <c r="E8" s="1">
        <v>8.0</v>
      </c>
      <c r="F8" s="1" t="s">
        <v>20</v>
      </c>
      <c r="G8" s="4" t="s">
        <v>33</v>
      </c>
      <c r="I8" s="1" t="s">
        <v>22</v>
      </c>
      <c r="J8" s="1" t="s">
        <v>23</v>
      </c>
      <c r="K8" s="1" t="s">
        <v>22</v>
      </c>
      <c r="L8" s="1"/>
      <c r="M8" s="1" t="s">
        <v>22</v>
      </c>
      <c r="N8" s="1"/>
      <c r="O8" s="1" t="s">
        <v>23</v>
      </c>
      <c r="P8" s="1">
        <f t="shared" si="1"/>
        <v>3</v>
      </c>
      <c r="Q8" s="3">
        <f t="shared" si="2"/>
        <v>300</v>
      </c>
    </row>
    <row r="9" ht="15.75" customHeight="1">
      <c r="A9" s="1" t="s">
        <v>242</v>
      </c>
      <c r="B9" s="4">
        <v>6.00410454E8</v>
      </c>
      <c r="C9" s="1" t="s">
        <v>329</v>
      </c>
      <c r="D9" s="1" t="s">
        <v>330</v>
      </c>
      <c r="E9" s="1">
        <v>8.0</v>
      </c>
      <c r="F9" s="1" t="s">
        <v>55</v>
      </c>
      <c r="G9" s="4" t="s">
        <v>21</v>
      </c>
      <c r="I9" s="1" t="s">
        <v>22</v>
      </c>
      <c r="J9" s="1" t="s">
        <v>23</v>
      </c>
      <c r="K9" s="1" t="s">
        <v>22</v>
      </c>
      <c r="L9" s="1"/>
      <c r="M9" s="1" t="s">
        <v>22</v>
      </c>
      <c r="N9" s="1"/>
      <c r="O9" s="1" t="s">
        <v>23</v>
      </c>
      <c r="P9" s="1">
        <f t="shared" si="1"/>
        <v>3</v>
      </c>
      <c r="Q9" s="3">
        <f t="shared" si="2"/>
        <v>300</v>
      </c>
    </row>
    <row r="10" ht="15.75" customHeight="1">
      <c r="A10" s="1" t="s">
        <v>242</v>
      </c>
      <c r="B10" s="4">
        <v>6.00408136E8</v>
      </c>
      <c r="C10" s="1" t="s">
        <v>331</v>
      </c>
      <c r="D10" s="1" t="s">
        <v>332</v>
      </c>
      <c r="E10" s="1">
        <v>7.0</v>
      </c>
      <c r="F10" s="1" t="s">
        <v>55</v>
      </c>
      <c r="G10" s="4" t="s">
        <v>21</v>
      </c>
      <c r="I10" s="1" t="s">
        <v>22</v>
      </c>
      <c r="J10" s="1" t="s">
        <v>23</v>
      </c>
      <c r="K10" s="1" t="s">
        <v>23</v>
      </c>
      <c r="L10" s="1">
        <v>3.0</v>
      </c>
      <c r="M10" s="1" t="s">
        <v>23</v>
      </c>
      <c r="N10" s="1"/>
      <c r="O10" s="1" t="s">
        <v>22</v>
      </c>
      <c r="P10" s="1">
        <f t="shared" si="1"/>
        <v>2</v>
      </c>
      <c r="Q10" s="3">
        <f t="shared" si="2"/>
        <v>200</v>
      </c>
    </row>
    <row r="11" ht="15.75" customHeight="1">
      <c r="A11" s="1" t="s">
        <v>242</v>
      </c>
      <c r="B11" s="4">
        <v>6.00410215E8</v>
      </c>
      <c r="C11" s="1" t="s">
        <v>333</v>
      </c>
      <c r="D11" s="1" t="s">
        <v>334</v>
      </c>
      <c r="E11" s="1">
        <v>7.0</v>
      </c>
      <c r="F11" s="1" t="s">
        <v>20</v>
      </c>
      <c r="G11" s="4" t="s">
        <v>21</v>
      </c>
      <c r="I11" s="1" t="s">
        <v>22</v>
      </c>
      <c r="J11" s="1" t="s">
        <v>23</v>
      </c>
      <c r="K11" s="1" t="s">
        <v>22</v>
      </c>
      <c r="L11" s="1">
        <v>3.0</v>
      </c>
      <c r="M11" s="1" t="s">
        <v>23</v>
      </c>
      <c r="N11" s="1"/>
      <c r="O11" s="1" t="s">
        <v>23</v>
      </c>
      <c r="P11" s="1">
        <f t="shared" si="1"/>
        <v>2</v>
      </c>
      <c r="Q11" s="3">
        <f t="shared" si="2"/>
        <v>200</v>
      </c>
    </row>
    <row r="12" ht="15.75" customHeight="1">
      <c r="A12" s="1" t="s">
        <v>242</v>
      </c>
      <c r="B12" s="4">
        <v>6.00407242E8</v>
      </c>
      <c r="C12" s="1" t="s">
        <v>187</v>
      </c>
      <c r="D12" s="1" t="s">
        <v>335</v>
      </c>
      <c r="E12" s="1">
        <v>7.0</v>
      </c>
      <c r="F12" s="1" t="s">
        <v>20</v>
      </c>
      <c r="G12" s="4" t="s">
        <v>21</v>
      </c>
      <c r="I12" s="1" t="s">
        <v>22</v>
      </c>
      <c r="J12" s="1" t="s">
        <v>23</v>
      </c>
      <c r="K12" s="1" t="s">
        <v>23</v>
      </c>
      <c r="L12" s="1"/>
      <c r="M12" s="1" t="s">
        <v>22</v>
      </c>
      <c r="N12" s="1"/>
      <c r="O12" s="1" t="s">
        <v>23</v>
      </c>
      <c r="P12" s="1">
        <f t="shared" si="1"/>
        <v>2</v>
      </c>
      <c r="Q12" s="3">
        <f t="shared" si="2"/>
        <v>200</v>
      </c>
    </row>
    <row r="13" ht="15.75" customHeight="1">
      <c r="A13" s="1" t="s">
        <v>242</v>
      </c>
      <c r="B13" s="4">
        <v>6.00412323E8</v>
      </c>
      <c r="C13" s="1" t="s">
        <v>336</v>
      </c>
      <c r="D13" s="1" t="s">
        <v>337</v>
      </c>
      <c r="E13" s="1">
        <v>7.0</v>
      </c>
      <c r="F13" s="1" t="s">
        <v>20</v>
      </c>
      <c r="G13" s="4" t="s">
        <v>33</v>
      </c>
      <c r="I13" s="1" t="s">
        <v>22</v>
      </c>
      <c r="J13" s="1" t="s">
        <v>23</v>
      </c>
      <c r="K13" s="1" t="s">
        <v>23</v>
      </c>
      <c r="L13" s="1"/>
      <c r="M13" s="1" t="s">
        <v>22</v>
      </c>
      <c r="N13" s="1"/>
      <c r="O13" s="1" t="s">
        <v>22</v>
      </c>
      <c r="P13" s="1">
        <v>3.0</v>
      </c>
      <c r="Q13" s="3">
        <f t="shared" si="2"/>
        <v>300</v>
      </c>
    </row>
    <row r="14" ht="15.75" customHeight="1">
      <c r="A14" s="1" t="s">
        <v>242</v>
      </c>
      <c r="B14" s="4">
        <v>6.00412744E8</v>
      </c>
      <c r="C14" s="1" t="s">
        <v>194</v>
      </c>
      <c r="D14" s="1" t="s">
        <v>338</v>
      </c>
      <c r="E14" s="1">
        <v>8.0</v>
      </c>
      <c r="F14" s="1" t="s">
        <v>20</v>
      </c>
      <c r="G14" s="4" t="s">
        <v>21</v>
      </c>
      <c r="I14" s="1" t="s">
        <v>22</v>
      </c>
      <c r="J14" s="1" t="s">
        <v>23</v>
      </c>
      <c r="K14" s="1" t="s">
        <v>23</v>
      </c>
      <c r="L14" s="1"/>
      <c r="M14" s="1" t="s">
        <v>22</v>
      </c>
      <c r="N14" s="1"/>
      <c r="O14" s="1" t="s">
        <v>23</v>
      </c>
      <c r="P14" s="1">
        <f t="shared" ref="P14:P17" si="3">COUNTIF(I14:O14, "✔️")</f>
        <v>2</v>
      </c>
      <c r="Q14" s="3">
        <f t="shared" si="2"/>
        <v>200</v>
      </c>
    </row>
    <row r="15" ht="15.75" customHeight="1">
      <c r="A15" s="1" t="s">
        <v>242</v>
      </c>
      <c r="B15" s="4">
        <v>6.00410101E8</v>
      </c>
      <c r="C15" s="1" t="s">
        <v>339</v>
      </c>
      <c r="D15" s="1" t="s">
        <v>59</v>
      </c>
      <c r="E15" s="1">
        <v>7.0</v>
      </c>
      <c r="F15" s="1" t="s">
        <v>55</v>
      </c>
      <c r="G15" s="4" t="s">
        <v>33</v>
      </c>
      <c r="I15" s="1" t="s">
        <v>22</v>
      </c>
      <c r="J15" s="1" t="s">
        <v>23</v>
      </c>
      <c r="K15" s="1" t="s">
        <v>23</v>
      </c>
      <c r="L15" s="1"/>
      <c r="M15" s="1" t="s">
        <v>22</v>
      </c>
      <c r="N15" s="1"/>
      <c r="O15" s="1" t="s">
        <v>23</v>
      </c>
      <c r="P15" s="1">
        <f t="shared" si="3"/>
        <v>2</v>
      </c>
      <c r="Q15" s="3">
        <f t="shared" si="2"/>
        <v>200</v>
      </c>
    </row>
    <row r="16" ht="15.75" customHeight="1">
      <c r="A16" s="1" t="s">
        <v>242</v>
      </c>
      <c r="B16" s="4">
        <v>6.00412617E8</v>
      </c>
      <c r="C16" s="1" t="s">
        <v>340</v>
      </c>
      <c r="D16" s="1" t="s">
        <v>341</v>
      </c>
      <c r="E16" s="1">
        <v>8.0</v>
      </c>
      <c r="F16" s="1" t="s">
        <v>20</v>
      </c>
      <c r="G16" s="4" t="s">
        <v>33</v>
      </c>
      <c r="I16" s="1" t="s">
        <v>22</v>
      </c>
      <c r="J16" s="1" t="s">
        <v>23</v>
      </c>
      <c r="K16" s="1" t="s">
        <v>23</v>
      </c>
      <c r="L16" s="1"/>
      <c r="M16" s="1" t="s">
        <v>22</v>
      </c>
      <c r="N16" s="1"/>
      <c r="O16" s="1" t="s">
        <v>23</v>
      </c>
      <c r="P16" s="1">
        <f t="shared" si="3"/>
        <v>2</v>
      </c>
      <c r="Q16" s="3">
        <f t="shared" si="2"/>
        <v>200</v>
      </c>
    </row>
    <row r="17" ht="15.75" customHeight="1">
      <c r="A17" s="1" t="s">
        <v>242</v>
      </c>
      <c r="B17" s="4">
        <v>6.0041023E8</v>
      </c>
      <c r="C17" s="1" t="s">
        <v>342</v>
      </c>
      <c r="D17" s="1" t="s">
        <v>343</v>
      </c>
      <c r="E17" s="1">
        <v>7.0</v>
      </c>
      <c r="F17" s="1" t="s">
        <v>42</v>
      </c>
      <c r="G17" s="4" t="s">
        <v>33</v>
      </c>
      <c r="I17" s="1" t="s">
        <v>22</v>
      </c>
      <c r="J17" s="1" t="s">
        <v>23</v>
      </c>
      <c r="K17" s="1" t="s">
        <v>22</v>
      </c>
      <c r="L17" s="1"/>
      <c r="M17" s="1" t="s">
        <v>22</v>
      </c>
      <c r="N17" s="1"/>
      <c r="O17" s="1" t="s">
        <v>23</v>
      </c>
      <c r="P17" s="1">
        <f t="shared" si="3"/>
        <v>3</v>
      </c>
      <c r="Q17" s="3">
        <f t="shared" si="2"/>
        <v>300</v>
      </c>
    </row>
    <row r="18" ht="15.75" customHeight="1">
      <c r="A18" s="1" t="s">
        <v>242</v>
      </c>
      <c r="B18" s="4">
        <v>6.00409487E8</v>
      </c>
      <c r="C18" s="1" t="s">
        <v>229</v>
      </c>
      <c r="D18" s="1" t="s">
        <v>344</v>
      </c>
      <c r="E18" s="1">
        <v>7.0</v>
      </c>
      <c r="F18" s="1" t="s">
        <v>20</v>
      </c>
      <c r="G18" s="4" t="s">
        <v>33</v>
      </c>
      <c r="I18" s="1" t="s">
        <v>22</v>
      </c>
      <c r="J18" s="1" t="s">
        <v>23</v>
      </c>
      <c r="K18" s="1" t="s">
        <v>22</v>
      </c>
      <c r="L18" s="1"/>
      <c r="M18" s="1" t="s">
        <v>22</v>
      </c>
      <c r="N18" s="1"/>
      <c r="O18" s="1" t="s">
        <v>22</v>
      </c>
      <c r="P18" s="1">
        <v>3.0</v>
      </c>
      <c r="Q18" s="3">
        <f t="shared" si="2"/>
        <v>300</v>
      </c>
    </row>
    <row r="19" ht="15.75" customHeight="1">
      <c r="A19" s="1" t="s">
        <v>242</v>
      </c>
      <c r="B19" s="4">
        <v>6.00407361E8</v>
      </c>
      <c r="C19" s="1" t="s">
        <v>345</v>
      </c>
      <c r="D19" s="1" t="s">
        <v>346</v>
      </c>
      <c r="E19" s="1">
        <v>7.0</v>
      </c>
      <c r="F19" s="1" t="s">
        <v>20</v>
      </c>
      <c r="G19" s="4" t="s">
        <v>21</v>
      </c>
      <c r="I19" s="1" t="s">
        <v>22</v>
      </c>
      <c r="J19" s="1" t="s">
        <v>23</v>
      </c>
      <c r="K19" s="1" t="s">
        <v>23</v>
      </c>
      <c r="L19" s="1">
        <v>4.0</v>
      </c>
      <c r="M19" s="1" t="s">
        <v>23</v>
      </c>
      <c r="N19" s="1"/>
      <c r="O19" s="1" t="s">
        <v>23</v>
      </c>
      <c r="P19" s="1">
        <f>COUNTIF(I19:O19, "✔️")</f>
        <v>1</v>
      </c>
      <c r="Q19" s="3">
        <f t="shared" si="2"/>
        <v>100</v>
      </c>
    </row>
    <row r="20" ht="15.75" customHeight="1">
      <c r="A20" s="1" t="s">
        <v>242</v>
      </c>
      <c r="B20" s="4">
        <v>6.00412937E8</v>
      </c>
      <c r="C20" s="1" t="s">
        <v>203</v>
      </c>
      <c r="D20" s="1" t="s">
        <v>347</v>
      </c>
      <c r="E20" s="1">
        <v>7.0</v>
      </c>
      <c r="F20" s="1" t="s">
        <v>20</v>
      </c>
      <c r="G20" s="4" t="s">
        <v>21</v>
      </c>
      <c r="I20" s="1" t="s">
        <v>22</v>
      </c>
      <c r="J20" s="1" t="s">
        <v>23</v>
      </c>
      <c r="K20" s="1" t="s">
        <v>22</v>
      </c>
      <c r="L20" s="1"/>
      <c r="M20" s="1" t="s">
        <v>22</v>
      </c>
      <c r="N20" s="1"/>
      <c r="O20" s="1" t="s">
        <v>22</v>
      </c>
      <c r="P20" s="1">
        <v>3.0</v>
      </c>
      <c r="Q20" s="3">
        <v>300.0</v>
      </c>
    </row>
    <row r="21" ht="15.75" customHeight="1">
      <c r="A21" s="1" t="s">
        <v>242</v>
      </c>
      <c r="B21" s="4">
        <v>6.00408658E8</v>
      </c>
      <c r="C21" s="1" t="s">
        <v>164</v>
      </c>
      <c r="D21" s="1" t="s">
        <v>348</v>
      </c>
      <c r="E21" s="1">
        <v>10.0</v>
      </c>
      <c r="F21" s="1" t="s">
        <v>42</v>
      </c>
      <c r="G21" s="4" t="s">
        <v>21</v>
      </c>
      <c r="I21" s="1" t="s">
        <v>22</v>
      </c>
      <c r="J21" s="1" t="s">
        <v>23</v>
      </c>
      <c r="K21" s="1" t="s">
        <v>22</v>
      </c>
      <c r="L21" s="1">
        <v>1.0</v>
      </c>
      <c r="M21" s="1" t="s">
        <v>22</v>
      </c>
      <c r="N21" s="1"/>
      <c r="O21" s="1" t="s">
        <v>22</v>
      </c>
      <c r="P21" s="1">
        <v>3.0</v>
      </c>
      <c r="Q21" s="3">
        <f t="shared" ref="Q21:Q32" si="4">IF(P21=1, 100, IF(P21=2, 200, IF(P21=3, 300, 0)))</f>
        <v>300</v>
      </c>
    </row>
    <row r="22" ht="15.75" customHeight="1">
      <c r="A22" s="1" t="s">
        <v>242</v>
      </c>
      <c r="B22" s="4">
        <v>6.00410467E8</v>
      </c>
      <c r="C22" s="1" t="s">
        <v>60</v>
      </c>
      <c r="D22" s="1" t="s">
        <v>293</v>
      </c>
      <c r="E22" s="1">
        <v>7.0</v>
      </c>
      <c r="F22" s="1" t="s">
        <v>20</v>
      </c>
      <c r="G22" s="4" t="s">
        <v>33</v>
      </c>
      <c r="I22" s="1" t="s">
        <v>22</v>
      </c>
      <c r="J22" s="1" t="s">
        <v>23</v>
      </c>
      <c r="K22" s="1" t="s">
        <v>23</v>
      </c>
      <c r="L22" s="1"/>
      <c r="M22" s="1" t="s">
        <v>22</v>
      </c>
      <c r="N22" s="1"/>
      <c r="O22" s="1" t="s">
        <v>23</v>
      </c>
      <c r="P22" s="1">
        <f t="shared" ref="P22:P32" si="5">COUNTIF(I22:O22, "✔️")</f>
        <v>2</v>
      </c>
      <c r="Q22" s="3">
        <f t="shared" si="4"/>
        <v>200</v>
      </c>
    </row>
    <row r="23" ht="15.75" customHeight="1">
      <c r="A23" s="1" t="s">
        <v>242</v>
      </c>
      <c r="B23" s="4">
        <v>6.00411857E8</v>
      </c>
      <c r="C23" s="1" t="s">
        <v>349</v>
      </c>
      <c r="D23" s="1" t="s">
        <v>350</v>
      </c>
      <c r="E23" s="1">
        <v>8.0</v>
      </c>
      <c r="F23" s="1" t="s">
        <v>20</v>
      </c>
      <c r="G23" s="4" t="s">
        <v>33</v>
      </c>
      <c r="I23" s="1"/>
      <c r="J23" s="1"/>
      <c r="K23" s="1"/>
      <c r="L23" s="1"/>
      <c r="M23" s="1"/>
      <c r="N23" s="1"/>
      <c r="O23" s="1"/>
      <c r="P23" s="1">
        <f t="shared" si="5"/>
        <v>0</v>
      </c>
      <c r="Q23" s="3">
        <f t="shared" si="4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5"/>
        <v>0</v>
      </c>
      <c r="Q24" s="3">
        <f t="shared" si="4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5"/>
        <v>0</v>
      </c>
      <c r="Q25" s="3">
        <f t="shared" si="4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5"/>
        <v>0</v>
      </c>
      <c r="Q26" s="3">
        <f t="shared" si="4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5"/>
        <v>0</v>
      </c>
      <c r="Q27" s="3">
        <f t="shared" si="4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5"/>
        <v>0</v>
      </c>
      <c r="Q28" s="3">
        <f t="shared" si="4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5"/>
        <v>0</v>
      </c>
      <c r="Q29" s="3">
        <f t="shared" si="4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5"/>
        <v>0</v>
      </c>
      <c r="Q30" s="3">
        <f t="shared" si="4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5"/>
        <v>0</v>
      </c>
      <c r="Q31" s="3">
        <f t="shared" si="4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5"/>
        <v>0</v>
      </c>
      <c r="Q32" s="3">
        <f t="shared" si="4"/>
        <v>0</v>
      </c>
    </row>
    <row r="33" ht="15.75" customHeight="1">
      <c r="I33" s="1">
        <f t="shared" ref="I33:K33" si="6">COUNTIF(I2:I32, "✔️")</f>
        <v>21</v>
      </c>
      <c r="J33" s="1">
        <f t="shared" si="6"/>
        <v>0</v>
      </c>
      <c r="K33" s="1">
        <f t="shared" si="6"/>
        <v>9</v>
      </c>
      <c r="L33" s="1"/>
      <c r="M33" s="1">
        <f>COUNTIF(M2:M32, "✔️")</f>
        <v>13</v>
      </c>
      <c r="N33" s="1"/>
      <c r="O33" s="1">
        <f>COUNTIF(O2:O32, "✔️")</f>
        <v>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2">
    <cfRule type="notContainsBlanks" dxfId="0" priority="1">
      <formula>LEN(TRIM(I2))&gt;0</formula>
    </cfRule>
  </conditionalFormatting>
  <conditionalFormatting sqref="Q2:Q32">
    <cfRule type="notContainsBlanks" dxfId="0" priority="2">
      <formula>LEN(TRIM(Q2))&gt;0</formula>
    </cfRule>
  </conditionalFormatting>
  <dataValidations>
    <dataValidation type="list" allowBlank="1" showErrorMessage="1" sqref="I2:K32 M2:M32 O2:O32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351</v>
      </c>
      <c r="B2" s="4">
        <v>6.00408602E8</v>
      </c>
      <c r="C2" s="1" t="s">
        <v>352</v>
      </c>
      <c r="D2" s="1" t="s">
        <v>353</v>
      </c>
      <c r="E2" s="1">
        <v>8.0</v>
      </c>
      <c r="F2" s="1" t="s">
        <v>55</v>
      </c>
      <c r="G2" s="4" t="s">
        <v>33</v>
      </c>
      <c r="I2" s="1" t="s">
        <v>23</v>
      </c>
      <c r="J2" s="1"/>
      <c r="K2" s="1" t="s">
        <v>22</v>
      </c>
      <c r="L2" s="1">
        <v>3.0</v>
      </c>
      <c r="M2" s="1" t="s">
        <v>23</v>
      </c>
      <c r="N2" s="1">
        <v>10.0</v>
      </c>
      <c r="O2" s="1" t="s">
        <v>23</v>
      </c>
      <c r="P2" s="1">
        <v>1.0</v>
      </c>
      <c r="Q2" s="3">
        <f t="shared" ref="Q2:Q31" si="1">IF(P2=1, 100, IF(P2=2, 200, IF(P2=3, 300, 0)))</f>
        <v>100</v>
      </c>
    </row>
    <row r="3" ht="15.75" customHeight="1">
      <c r="A3" s="1" t="s">
        <v>351</v>
      </c>
      <c r="B3" s="4">
        <v>6.004092E8</v>
      </c>
      <c r="C3" s="1" t="s">
        <v>101</v>
      </c>
      <c r="D3" s="1" t="s">
        <v>354</v>
      </c>
      <c r="E3" s="1">
        <v>8.0</v>
      </c>
      <c r="F3" s="1" t="s">
        <v>20</v>
      </c>
      <c r="G3" s="4" t="s">
        <v>21</v>
      </c>
      <c r="I3" s="1" t="s">
        <v>22</v>
      </c>
      <c r="J3" s="1"/>
      <c r="K3" s="1" t="s">
        <v>22</v>
      </c>
      <c r="L3" s="1"/>
      <c r="M3" s="1" t="s">
        <v>22</v>
      </c>
      <c r="N3" s="1">
        <v>4.0</v>
      </c>
      <c r="O3" s="1" t="s">
        <v>23</v>
      </c>
      <c r="P3" s="1">
        <v>3.0</v>
      </c>
      <c r="Q3" s="3">
        <f t="shared" si="1"/>
        <v>300</v>
      </c>
    </row>
    <row r="4" ht="15.75" customHeight="1">
      <c r="A4" s="1" t="s">
        <v>351</v>
      </c>
      <c r="B4" s="4">
        <v>6.00411361E8</v>
      </c>
      <c r="C4" s="1" t="s">
        <v>355</v>
      </c>
      <c r="D4" s="1" t="s">
        <v>356</v>
      </c>
      <c r="E4" s="1">
        <v>8.0</v>
      </c>
      <c r="F4" s="1" t="s">
        <v>20</v>
      </c>
      <c r="G4" s="4" t="s">
        <v>21</v>
      </c>
      <c r="I4" s="1" t="s">
        <v>23</v>
      </c>
      <c r="J4" s="1"/>
      <c r="K4" s="1" t="s">
        <v>22</v>
      </c>
      <c r="L4" s="1">
        <v>2.0</v>
      </c>
      <c r="M4" s="1" t="s">
        <v>23</v>
      </c>
      <c r="N4" s="1">
        <v>12.0</v>
      </c>
      <c r="O4" s="1" t="s">
        <v>23</v>
      </c>
      <c r="P4" s="1">
        <v>1.0</v>
      </c>
      <c r="Q4" s="3">
        <f t="shared" si="1"/>
        <v>100</v>
      </c>
    </row>
    <row r="5" ht="15.75" customHeight="1">
      <c r="A5" s="1" t="s">
        <v>351</v>
      </c>
      <c r="B5" s="4">
        <v>6.00409309E8</v>
      </c>
      <c r="C5" s="1" t="s">
        <v>281</v>
      </c>
      <c r="D5" s="1" t="s">
        <v>357</v>
      </c>
      <c r="E5" s="1">
        <v>8.0</v>
      </c>
      <c r="F5" s="1" t="s">
        <v>20</v>
      </c>
      <c r="G5" s="4" t="s">
        <v>21</v>
      </c>
      <c r="I5" s="1" t="s">
        <v>22</v>
      </c>
      <c r="J5" s="1"/>
      <c r="K5" s="1" t="s">
        <v>22</v>
      </c>
      <c r="L5" s="1"/>
      <c r="M5" s="1" t="s">
        <v>22</v>
      </c>
      <c r="N5" s="1">
        <v>1.0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351</v>
      </c>
      <c r="B6" s="4">
        <v>6.00410252E8</v>
      </c>
      <c r="C6" s="1" t="s">
        <v>69</v>
      </c>
      <c r="D6" s="1" t="s">
        <v>358</v>
      </c>
      <c r="E6" s="1">
        <v>8.0</v>
      </c>
      <c r="F6" s="1" t="s">
        <v>20</v>
      </c>
      <c r="G6" s="4" t="s">
        <v>21</v>
      </c>
      <c r="I6" s="1" t="s">
        <v>22</v>
      </c>
      <c r="J6" s="1"/>
      <c r="K6" s="1" t="s">
        <v>22</v>
      </c>
      <c r="L6" s="1"/>
      <c r="M6" s="1" t="s">
        <v>22</v>
      </c>
      <c r="N6" s="1">
        <v>3.0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1" t="s">
        <v>351</v>
      </c>
      <c r="B7" s="4">
        <v>6.00411499E8</v>
      </c>
      <c r="C7" s="1" t="s">
        <v>35</v>
      </c>
      <c r="D7" s="1" t="s">
        <v>359</v>
      </c>
      <c r="E7" s="1">
        <v>8.0</v>
      </c>
      <c r="F7" s="1" t="s">
        <v>20</v>
      </c>
      <c r="G7" s="4" t="s">
        <v>33</v>
      </c>
      <c r="I7" s="1" t="s">
        <v>22</v>
      </c>
      <c r="J7" s="1"/>
      <c r="K7" s="1" t="s">
        <v>22</v>
      </c>
      <c r="L7" s="1"/>
      <c r="M7" s="1" t="s">
        <v>22</v>
      </c>
      <c r="N7" s="1">
        <v>2.0</v>
      </c>
      <c r="O7" s="1" t="s">
        <v>22</v>
      </c>
      <c r="P7" s="1">
        <v>3.0</v>
      </c>
      <c r="Q7" s="3">
        <f t="shared" si="1"/>
        <v>300</v>
      </c>
    </row>
    <row r="8" ht="15.75" customHeight="1">
      <c r="A8" s="1" t="s">
        <v>351</v>
      </c>
      <c r="B8" s="4">
        <v>6.00408921E8</v>
      </c>
      <c r="C8" s="1" t="s">
        <v>213</v>
      </c>
      <c r="D8" s="1" t="s">
        <v>360</v>
      </c>
      <c r="E8" s="1">
        <v>9.0</v>
      </c>
      <c r="F8" s="1" t="s">
        <v>20</v>
      </c>
      <c r="G8" s="4" t="s">
        <v>21</v>
      </c>
      <c r="I8" s="1" t="s">
        <v>22</v>
      </c>
      <c r="J8" s="1"/>
      <c r="K8" s="1" t="s">
        <v>22</v>
      </c>
      <c r="L8" s="1"/>
      <c r="M8" s="1" t="s">
        <v>22</v>
      </c>
      <c r="N8" s="1">
        <v>5.0</v>
      </c>
      <c r="O8" s="1" t="s">
        <v>23</v>
      </c>
      <c r="P8" s="1">
        <v>3.0</v>
      </c>
      <c r="Q8" s="3">
        <f t="shared" si="1"/>
        <v>300</v>
      </c>
    </row>
    <row r="9" ht="15.75" customHeight="1">
      <c r="A9" s="1" t="s">
        <v>351</v>
      </c>
      <c r="B9" s="4">
        <v>6.00410469E8</v>
      </c>
      <c r="C9" s="1" t="s">
        <v>361</v>
      </c>
      <c r="D9" s="1" t="s">
        <v>202</v>
      </c>
      <c r="E9" s="1">
        <v>8.0</v>
      </c>
      <c r="F9" s="1" t="s">
        <v>55</v>
      </c>
      <c r="G9" s="4" t="s">
        <v>33</v>
      </c>
      <c r="I9" s="1" t="s">
        <v>22</v>
      </c>
      <c r="J9" s="1"/>
      <c r="K9" s="1" t="s">
        <v>22</v>
      </c>
      <c r="L9" s="1"/>
      <c r="M9" s="1" t="s">
        <v>22</v>
      </c>
      <c r="N9" s="1">
        <v>1.0</v>
      </c>
      <c r="O9" s="1" t="s">
        <v>22</v>
      </c>
      <c r="P9" s="1">
        <v>3.0</v>
      </c>
      <c r="Q9" s="3">
        <f t="shared" si="1"/>
        <v>300</v>
      </c>
    </row>
    <row r="10" ht="15.75" customHeight="1">
      <c r="A10" s="1" t="s">
        <v>351</v>
      </c>
      <c r="B10" s="4">
        <v>6.0041138E8</v>
      </c>
      <c r="C10" s="1" t="s">
        <v>362</v>
      </c>
      <c r="D10" s="1" t="s">
        <v>127</v>
      </c>
      <c r="E10" s="1">
        <v>8.0</v>
      </c>
      <c r="F10" s="1" t="s">
        <v>42</v>
      </c>
      <c r="G10" s="4" t="s">
        <v>21</v>
      </c>
      <c r="I10" s="1" t="s">
        <v>22</v>
      </c>
      <c r="J10" s="1"/>
      <c r="K10" s="1" t="s">
        <v>22</v>
      </c>
      <c r="L10" s="1">
        <v>1.0</v>
      </c>
      <c r="M10" s="1" t="s">
        <v>22</v>
      </c>
      <c r="N10" s="1">
        <v>5.0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351</v>
      </c>
      <c r="B11" s="4">
        <v>6.00406342E8</v>
      </c>
      <c r="C11" s="1" t="s">
        <v>113</v>
      </c>
      <c r="D11" s="1" t="s">
        <v>363</v>
      </c>
      <c r="E11" s="1">
        <v>8.0</v>
      </c>
      <c r="F11" s="1" t="s">
        <v>20</v>
      </c>
      <c r="G11" s="4" t="s">
        <v>33</v>
      </c>
      <c r="I11" s="1" t="s">
        <v>22</v>
      </c>
      <c r="J11" s="1"/>
      <c r="K11" s="1" t="s">
        <v>22</v>
      </c>
      <c r="L11" s="1"/>
      <c r="M11" s="1" t="s">
        <v>22</v>
      </c>
      <c r="N11" s="1">
        <v>8.0</v>
      </c>
      <c r="O11" s="1" t="s">
        <v>23</v>
      </c>
      <c r="P11" s="1">
        <v>3.0</v>
      </c>
      <c r="Q11" s="3">
        <f t="shared" si="1"/>
        <v>300</v>
      </c>
    </row>
    <row r="12" ht="15.75" customHeight="1">
      <c r="A12" s="1" t="s">
        <v>351</v>
      </c>
      <c r="B12" s="4">
        <v>6.00406777E8</v>
      </c>
      <c r="C12" s="1" t="s">
        <v>183</v>
      </c>
      <c r="D12" s="1" t="s">
        <v>364</v>
      </c>
      <c r="E12" s="1">
        <v>8.0</v>
      </c>
      <c r="F12" s="1" t="s">
        <v>20</v>
      </c>
      <c r="G12" s="4" t="s">
        <v>21</v>
      </c>
      <c r="I12" s="1" t="s">
        <v>22</v>
      </c>
      <c r="J12" s="1"/>
      <c r="K12" s="1" t="s">
        <v>22</v>
      </c>
      <c r="L12" s="1">
        <v>1.0</v>
      </c>
      <c r="M12" s="1" t="s">
        <v>22</v>
      </c>
      <c r="N12" s="1">
        <v>5.0</v>
      </c>
      <c r="O12" s="1" t="s">
        <v>23</v>
      </c>
      <c r="P12" s="1">
        <v>3.0</v>
      </c>
      <c r="Q12" s="3">
        <f t="shared" si="1"/>
        <v>300</v>
      </c>
    </row>
    <row r="13" ht="15.75" customHeight="1">
      <c r="A13" s="1" t="s">
        <v>351</v>
      </c>
      <c r="B13" s="4">
        <v>6.00411868E8</v>
      </c>
      <c r="C13" s="1" t="s">
        <v>365</v>
      </c>
      <c r="D13" s="1" t="s">
        <v>366</v>
      </c>
      <c r="E13" s="1">
        <v>8.0</v>
      </c>
      <c r="F13" s="1" t="s">
        <v>20</v>
      </c>
      <c r="G13" s="4" t="s">
        <v>21</v>
      </c>
      <c r="I13" s="1" t="s">
        <v>22</v>
      </c>
      <c r="J13" s="1"/>
      <c r="K13" s="1" t="s">
        <v>22</v>
      </c>
      <c r="L13" s="1"/>
      <c r="M13" s="1" t="s">
        <v>22</v>
      </c>
      <c r="N13" s="1">
        <v>3.0</v>
      </c>
      <c r="O13" s="1" t="s">
        <v>22</v>
      </c>
      <c r="P13" s="1">
        <v>3.0</v>
      </c>
      <c r="Q13" s="3">
        <f t="shared" si="1"/>
        <v>300</v>
      </c>
    </row>
    <row r="14" ht="15.75" customHeight="1">
      <c r="A14" s="1" t="s">
        <v>351</v>
      </c>
      <c r="B14" s="4">
        <v>6.00410979E8</v>
      </c>
      <c r="C14" s="1" t="s">
        <v>367</v>
      </c>
      <c r="D14" s="1" t="s">
        <v>368</v>
      </c>
      <c r="E14" s="1">
        <v>8.0</v>
      </c>
      <c r="F14" s="1" t="s">
        <v>20</v>
      </c>
      <c r="G14" s="4" t="s">
        <v>21</v>
      </c>
      <c r="I14" s="1" t="s">
        <v>22</v>
      </c>
      <c r="J14" s="1"/>
      <c r="K14" s="1" t="s">
        <v>22</v>
      </c>
      <c r="L14" s="1"/>
      <c r="M14" s="1" t="s">
        <v>22</v>
      </c>
      <c r="N14" s="1">
        <v>2.0</v>
      </c>
      <c r="O14" s="1" t="s">
        <v>22</v>
      </c>
      <c r="P14" s="1">
        <v>3.0</v>
      </c>
      <c r="Q14" s="3">
        <f t="shared" si="1"/>
        <v>300</v>
      </c>
    </row>
    <row r="15" ht="15.75" customHeight="1">
      <c r="A15" s="1" t="s">
        <v>351</v>
      </c>
      <c r="B15" s="4">
        <v>6.00407347E8</v>
      </c>
      <c r="C15" s="1" t="s">
        <v>88</v>
      </c>
      <c r="D15" s="1" t="s">
        <v>369</v>
      </c>
      <c r="E15" s="1">
        <v>10.0</v>
      </c>
      <c r="F15" s="1" t="s">
        <v>20</v>
      </c>
      <c r="G15" s="4" t="s">
        <v>33</v>
      </c>
      <c r="I15" s="1" t="s">
        <v>23</v>
      </c>
      <c r="J15" s="1"/>
      <c r="K15" s="1" t="s">
        <v>22</v>
      </c>
      <c r="L15" s="1"/>
      <c r="M15" s="1" t="s">
        <v>23</v>
      </c>
      <c r="N15" s="1">
        <v>3.0</v>
      </c>
      <c r="O15" s="1" t="s">
        <v>22</v>
      </c>
      <c r="P15" s="1">
        <v>2.0</v>
      </c>
      <c r="Q15" s="3">
        <f t="shared" si="1"/>
        <v>200</v>
      </c>
    </row>
    <row r="16" ht="15.75" customHeight="1">
      <c r="A16" s="1" t="s">
        <v>351</v>
      </c>
      <c r="B16" s="4">
        <v>6.00408005E8</v>
      </c>
      <c r="C16" s="1" t="s">
        <v>370</v>
      </c>
      <c r="D16" s="1" t="s">
        <v>271</v>
      </c>
      <c r="E16" s="1">
        <v>9.0</v>
      </c>
      <c r="F16" s="1" t="s">
        <v>55</v>
      </c>
      <c r="G16" s="4" t="s">
        <v>33</v>
      </c>
      <c r="I16" s="1" t="s">
        <v>22</v>
      </c>
      <c r="J16" s="1"/>
      <c r="K16" s="1" t="s">
        <v>22</v>
      </c>
      <c r="L16" s="1"/>
      <c r="M16" s="1" t="s">
        <v>22</v>
      </c>
      <c r="N16" s="1">
        <v>7.0</v>
      </c>
      <c r="O16" s="1" t="s">
        <v>23</v>
      </c>
      <c r="P16" s="1">
        <v>3.0</v>
      </c>
      <c r="Q16" s="3">
        <f t="shared" si="1"/>
        <v>300</v>
      </c>
    </row>
    <row r="17" ht="15.75" customHeight="1">
      <c r="A17" s="1" t="s">
        <v>351</v>
      </c>
      <c r="B17" s="4">
        <v>6.0040776E8</v>
      </c>
      <c r="C17" s="1" t="s">
        <v>90</v>
      </c>
      <c r="D17" s="1" t="s">
        <v>371</v>
      </c>
      <c r="E17" s="1">
        <v>9.0</v>
      </c>
      <c r="F17" s="1" t="s">
        <v>55</v>
      </c>
      <c r="G17" s="4" t="s">
        <v>33</v>
      </c>
      <c r="I17" s="1" t="s">
        <v>22</v>
      </c>
      <c r="J17" s="1"/>
      <c r="K17" s="1" t="s">
        <v>22</v>
      </c>
      <c r="L17" s="1"/>
      <c r="M17" s="1" t="s">
        <v>22</v>
      </c>
      <c r="N17" s="1">
        <v>3.0</v>
      </c>
      <c r="O17" s="1" t="s">
        <v>22</v>
      </c>
      <c r="P17" s="1">
        <v>3.0</v>
      </c>
      <c r="Q17" s="3">
        <f t="shared" si="1"/>
        <v>300</v>
      </c>
    </row>
    <row r="18" ht="15.75" customHeight="1">
      <c r="A18" s="1" t="s">
        <v>351</v>
      </c>
      <c r="B18" s="4">
        <v>6.00408578E8</v>
      </c>
      <c r="C18" s="1" t="s">
        <v>372</v>
      </c>
      <c r="D18" s="1" t="s">
        <v>373</v>
      </c>
      <c r="E18" s="1">
        <v>8.0</v>
      </c>
      <c r="F18" s="1" t="s">
        <v>55</v>
      </c>
      <c r="G18" s="4" t="s">
        <v>33</v>
      </c>
      <c r="I18" s="1" t="s">
        <v>22</v>
      </c>
      <c r="J18" s="1"/>
      <c r="K18" s="1" t="s">
        <v>22</v>
      </c>
      <c r="L18" s="1"/>
      <c r="M18" s="1" t="s">
        <v>22</v>
      </c>
      <c r="N18" s="1">
        <v>2.0</v>
      </c>
      <c r="O18" s="1" t="s">
        <v>22</v>
      </c>
      <c r="P18" s="1">
        <v>3.0</v>
      </c>
      <c r="Q18" s="3">
        <f t="shared" si="1"/>
        <v>300</v>
      </c>
    </row>
    <row r="19" ht="15.75" customHeight="1">
      <c r="A19" s="1" t="s">
        <v>351</v>
      </c>
      <c r="B19" s="4">
        <v>6.00411867E8</v>
      </c>
      <c r="C19" s="1" t="s">
        <v>374</v>
      </c>
      <c r="D19" s="1" t="s">
        <v>375</v>
      </c>
      <c r="E19" s="1">
        <v>8.0</v>
      </c>
      <c r="F19" s="1" t="s">
        <v>55</v>
      </c>
      <c r="G19" s="4" t="s">
        <v>21</v>
      </c>
      <c r="I19" s="1" t="s">
        <v>22</v>
      </c>
      <c r="J19" s="1"/>
      <c r="K19" s="1" t="s">
        <v>22</v>
      </c>
      <c r="L19" s="1"/>
      <c r="M19" s="1" t="s">
        <v>22</v>
      </c>
      <c r="N19" s="1">
        <v>8.0</v>
      </c>
      <c r="O19" s="1" t="s">
        <v>23</v>
      </c>
      <c r="P19" s="1">
        <v>3.0</v>
      </c>
      <c r="Q19" s="3">
        <f t="shared" si="1"/>
        <v>300</v>
      </c>
    </row>
    <row r="20" ht="15.75" customHeight="1">
      <c r="A20" s="1" t="s">
        <v>351</v>
      </c>
      <c r="B20" s="4">
        <v>6.00408872E8</v>
      </c>
      <c r="C20" s="1" t="s">
        <v>376</v>
      </c>
      <c r="D20" s="1" t="s">
        <v>377</v>
      </c>
      <c r="E20" s="1">
        <v>8.0</v>
      </c>
      <c r="F20" s="1" t="s">
        <v>20</v>
      </c>
      <c r="G20" s="4" t="s">
        <v>33</v>
      </c>
      <c r="I20" s="1" t="s">
        <v>22</v>
      </c>
      <c r="J20" s="1"/>
      <c r="K20" s="1" t="s">
        <v>22</v>
      </c>
      <c r="L20" s="1"/>
      <c r="M20" s="1" t="s">
        <v>22</v>
      </c>
      <c r="N20" s="1">
        <v>3.0</v>
      </c>
      <c r="O20" s="1" t="s">
        <v>22</v>
      </c>
      <c r="P20" s="1">
        <v>3.0</v>
      </c>
      <c r="Q20" s="3">
        <f t="shared" si="1"/>
        <v>300</v>
      </c>
    </row>
    <row r="21" ht="15.75" customHeight="1">
      <c r="A21" s="1" t="s">
        <v>351</v>
      </c>
      <c r="B21" s="4">
        <v>6.00407376E8</v>
      </c>
      <c r="C21" s="1" t="s">
        <v>164</v>
      </c>
      <c r="D21" s="1" t="s">
        <v>378</v>
      </c>
      <c r="E21" s="1">
        <v>9.0</v>
      </c>
      <c r="F21" s="1" t="s">
        <v>20</v>
      </c>
      <c r="G21" s="4" t="s">
        <v>33</v>
      </c>
      <c r="I21" s="1" t="s">
        <v>22</v>
      </c>
      <c r="J21" s="1"/>
      <c r="K21" s="1" t="s">
        <v>22</v>
      </c>
      <c r="L21" s="1"/>
      <c r="M21" s="1" t="s">
        <v>22</v>
      </c>
      <c r="N21" s="1">
        <v>5.0</v>
      </c>
      <c r="O21" s="1" t="s">
        <v>23</v>
      </c>
      <c r="P21" s="1">
        <v>3.0</v>
      </c>
      <c r="Q21" s="3">
        <f t="shared" si="1"/>
        <v>300</v>
      </c>
    </row>
    <row r="22" ht="15.75" customHeight="1">
      <c r="A22" s="1" t="s">
        <v>351</v>
      </c>
      <c r="B22" s="4">
        <v>6.00407301E8</v>
      </c>
      <c r="C22" s="1" t="s">
        <v>379</v>
      </c>
      <c r="D22" s="1" t="s">
        <v>380</v>
      </c>
      <c r="E22" s="1">
        <v>8.0</v>
      </c>
      <c r="F22" s="1" t="s">
        <v>20</v>
      </c>
      <c r="G22" s="4" t="s">
        <v>21</v>
      </c>
      <c r="I22" s="1" t="s">
        <v>22</v>
      </c>
      <c r="J22" s="1"/>
      <c r="K22" s="1" t="s">
        <v>22</v>
      </c>
      <c r="L22" s="1"/>
      <c r="M22" s="1" t="s">
        <v>22</v>
      </c>
      <c r="N22" s="1">
        <v>6.0</v>
      </c>
      <c r="O22" s="1" t="s">
        <v>23</v>
      </c>
      <c r="P22" s="1">
        <v>3.0</v>
      </c>
      <c r="Q22" s="3">
        <f t="shared" si="1"/>
        <v>300</v>
      </c>
    </row>
    <row r="23" ht="15.75" customHeight="1">
      <c r="A23" s="1" t="s">
        <v>351</v>
      </c>
      <c r="B23" s="4">
        <v>6.0040796E8</v>
      </c>
      <c r="C23" s="1" t="s">
        <v>131</v>
      </c>
      <c r="D23" s="1" t="s">
        <v>381</v>
      </c>
      <c r="E23" s="1">
        <v>8.0</v>
      </c>
      <c r="F23" s="1" t="s">
        <v>20</v>
      </c>
      <c r="G23" s="4" t="s">
        <v>21</v>
      </c>
      <c r="I23" s="1" t="s">
        <v>22</v>
      </c>
      <c r="J23" s="1"/>
      <c r="K23" s="1" t="s">
        <v>22</v>
      </c>
      <c r="L23" s="1"/>
      <c r="M23" s="1" t="s">
        <v>22</v>
      </c>
      <c r="N23" s="1">
        <v>4.0</v>
      </c>
      <c r="O23" s="1" t="s">
        <v>23</v>
      </c>
      <c r="P23" s="1">
        <v>3.0</v>
      </c>
      <c r="Q23" s="3">
        <f t="shared" si="1"/>
        <v>300</v>
      </c>
    </row>
    <row r="24" ht="15.75" customHeight="1">
      <c r="I24" s="1"/>
      <c r="J24" s="1"/>
      <c r="K24" s="1"/>
      <c r="L24" s="1"/>
      <c r="M24" s="1"/>
      <c r="O24" s="1"/>
      <c r="P24" s="1">
        <f t="shared" ref="P24:P31" si="2">COUNTIF(I24:O24, "✔️")</f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2"/>
        <v>0</v>
      </c>
      <c r="Q31" s="3">
        <f t="shared" si="1"/>
        <v>0</v>
      </c>
    </row>
    <row r="32" ht="15.75" customHeight="1">
      <c r="I32" s="1">
        <f t="shared" ref="I32:K32" si="3">COUNTIF(I2:I31, "✔️")</f>
        <v>19</v>
      </c>
      <c r="J32" s="1">
        <f t="shared" si="3"/>
        <v>0</v>
      </c>
      <c r="K32" s="1">
        <f t="shared" si="3"/>
        <v>22</v>
      </c>
      <c r="L32" s="1"/>
      <c r="M32" s="1">
        <f>COUNTIF(M2:M31, "✔️")</f>
        <v>19</v>
      </c>
      <c r="N32" s="1"/>
      <c r="O32" s="1">
        <f>COUNTIF(O2:O31, "✔️")</f>
        <v>10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351</v>
      </c>
      <c r="B2" s="4">
        <v>6.00406949E8</v>
      </c>
      <c r="C2" s="1" t="s">
        <v>279</v>
      </c>
      <c r="D2" s="1" t="s">
        <v>382</v>
      </c>
      <c r="E2" s="1">
        <v>9.0</v>
      </c>
      <c r="F2" s="1" t="s">
        <v>55</v>
      </c>
      <c r="G2" s="4" t="s">
        <v>33</v>
      </c>
      <c r="I2" s="1" t="s">
        <v>22</v>
      </c>
      <c r="J2" s="1" t="s">
        <v>22</v>
      </c>
      <c r="K2" s="1" t="s">
        <v>22</v>
      </c>
      <c r="L2" s="1">
        <v>0.0</v>
      </c>
      <c r="M2" s="1" t="s">
        <v>22</v>
      </c>
      <c r="N2" s="1">
        <v>13.0</v>
      </c>
      <c r="O2" s="1" t="s">
        <v>23</v>
      </c>
      <c r="P2" s="1">
        <v>3.0</v>
      </c>
      <c r="Q2" s="3">
        <f t="shared" ref="Q2:Q32" si="1">IF(P2=1, 100, IF(P2=2, 200, IF(P2=3, 300, 0)))</f>
        <v>300</v>
      </c>
    </row>
    <row r="3" ht="15.75" customHeight="1">
      <c r="A3" s="1" t="s">
        <v>351</v>
      </c>
      <c r="B3" s="4">
        <v>6.00408879E8</v>
      </c>
      <c r="C3" s="1" t="s">
        <v>324</v>
      </c>
      <c r="D3" s="1" t="s">
        <v>383</v>
      </c>
      <c r="E3" s="1">
        <v>9.0</v>
      </c>
      <c r="F3" s="1" t="s">
        <v>55</v>
      </c>
      <c r="G3" s="4" t="s">
        <v>21</v>
      </c>
      <c r="I3" s="1" t="s">
        <v>22</v>
      </c>
      <c r="J3" s="1" t="s">
        <v>22</v>
      </c>
      <c r="K3" s="1" t="s">
        <v>22</v>
      </c>
      <c r="L3" s="1">
        <v>0.0</v>
      </c>
      <c r="M3" s="1" t="s">
        <v>22</v>
      </c>
      <c r="N3" s="1">
        <v>6.0</v>
      </c>
      <c r="O3" s="1" t="s">
        <v>23</v>
      </c>
      <c r="P3" s="1">
        <v>3.0</v>
      </c>
      <c r="Q3" s="3">
        <f t="shared" si="1"/>
        <v>300</v>
      </c>
    </row>
    <row r="4" ht="15.75" customHeight="1">
      <c r="A4" s="1" t="s">
        <v>351</v>
      </c>
      <c r="B4" s="4">
        <v>6.00411324E8</v>
      </c>
      <c r="C4" s="1" t="s">
        <v>141</v>
      </c>
      <c r="D4" s="1" t="s">
        <v>384</v>
      </c>
      <c r="E4" s="1">
        <v>8.0</v>
      </c>
      <c r="F4" s="1" t="s">
        <v>20</v>
      </c>
      <c r="G4" s="4" t="s">
        <v>21</v>
      </c>
      <c r="I4" s="1" t="s">
        <v>22</v>
      </c>
      <c r="J4" s="1" t="s">
        <v>22</v>
      </c>
      <c r="K4" s="1" t="s">
        <v>22</v>
      </c>
      <c r="L4" s="1">
        <v>0.0</v>
      </c>
      <c r="M4" s="1" t="s">
        <v>22</v>
      </c>
      <c r="N4" s="1">
        <v>2.0</v>
      </c>
      <c r="O4" s="1" t="s">
        <v>22</v>
      </c>
      <c r="P4" s="1">
        <v>3.0</v>
      </c>
      <c r="Q4" s="3">
        <f t="shared" si="1"/>
        <v>300</v>
      </c>
    </row>
    <row r="5" ht="15.75" customHeight="1">
      <c r="A5" s="1" t="s">
        <v>351</v>
      </c>
      <c r="B5" s="4">
        <v>6.00411819E8</v>
      </c>
      <c r="C5" s="1" t="s">
        <v>385</v>
      </c>
      <c r="D5" s="1" t="s">
        <v>386</v>
      </c>
      <c r="E5" s="1">
        <v>8.0</v>
      </c>
      <c r="F5" s="1" t="s">
        <v>20</v>
      </c>
      <c r="G5" s="4" t="s">
        <v>21</v>
      </c>
      <c r="I5" s="1" t="s">
        <v>22</v>
      </c>
      <c r="J5" s="1" t="s">
        <v>22</v>
      </c>
      <c r="K5" s="1" t="s">
        <v>22</v>
      </c>
      <c r="L5" s="1">
        <v>0.0</v>
      </c>
      <c r="M5" s="1" t="s">
        <v>22</v>
      </c>
      <c r="N5" s="1">
        <v>7.0</v>
      </c>
      <c r="O5" s="1" t="s">
        <v>23</v>
      </c>
      <c r="P5" s="1">
        <v>3.0</v>
      </c>
      <c r="Q5" s="3">
        <f t="shared" si="1"/>
        <v>300</v>
      </c>
    </row>
    <row r="6" ht="15.75" customHeight="1">
      <c r="A6" s="1" t="s">
        <v>351</v>
      </c>
      <c r="B6" s="4">
        <v>6.00412178E8</v>
      </c>
      <c r="C6" s="1" t="s">
        <v>387</v>
      </c>
      <c r="D6" s="1" t="s">
        <v>388</v>
      </c>
      <c r="E6" s="1">
        <v>8.0</v>
      </c>
      <c r="F6" s="1" t="s">
        <v>20</v>
      </c>
      <c r="G6" s="4" t="s">
        <v>21</v>
      </c>
      <c r="I6" s="1" t="s">
        <v>22</v>
      </c>
      <c r="J6" s="1" t="s">
        <v>22</v>
      </c>
      <c r="K6" s="1" t="s">
        <v>22</v>
      </c>
      <c r="L6" s="1">
        <v>0.0</v>
      </c>
      <c r="M6" s="1" t="s">
        <v>22</v>
      </c>
      <c r="N6" s="1">
        <v>8.0</v>
      </c>
      <c r="O6" s="1" t="s">
        <v>23</v>
      </c>
      <c r="P6" s="1">
        <v>3.0</v>
      </c>
      <c r="Q6" s="3">
        <f t="shared" si="1"/>
        <v>300</v>
      </c>
    </row>
    <row r="7" ht="15.75" customHeight="1">
      <c r="A7" s="1" t="s">
        <v>351</v>
      </c>
      <c r="B7" s="4">
        <v>6.004093E8</v>
      </c>
      <c r="C7" s="1" t="s">
        <v>109</v>
      </c>
      <c r="D7" s="1" t="s">
        <v>389</v>
      </c>
      <c r="E7" s="1">
        <v>8.0</v>
      </c>
      <c r="F7" s="1" t="s">
        <v>42</v>
      </c>
      <c r="G7" s="4" t="s">
        <v>21</v>
      </c>
      <c r="I7" s="1" t="s">
        <v>22</v>
      </c>
      <c r="J7" s="1" t="s">
        <v>22</v>
      </c>
      <c r="K7" s="1" t="s">
        <v>22</v>
      </c>
      <c r="L7" s="1">
        <v>0.0</v>
      </c>
      <c r="M7" s="1" t="s">
        <v>22</v>
      </c>
      <c r="N7" s="1">
        <v>11.0</v>
      </c>
      <c r="O7" s="1" t="s">
        <v>23</v>
      </c>
      <c r="P7" s="1">
        <v>3.0</v>
      </c>
      <c r="Q7" s="3">
        <f t="shared" si="1"/>
        <v>300</v>
      </c>
    </row>
    <row r="8" ht="15.75" customHeight="1">
      <c r="A8" s="1" t="s">
        <v>351</v>
      </c>
      <c r="B8" s="4">
        <v>6.00409812E8</v>
      </c>
      <c r="C8" s="1" t="s">
        <v>111</v>
      </c>
      <c r="D8" s="1" t="s">
        <v>390</v>
      </c>
      <c r="E8" s="1">
        <v>8.0</v>
      </c>
      <c r="F8" s="1" t="s">
        <v>20</v>
      </c>
      <c r="G8" s="4" t="s">
        <v>21</v>
      </c>
      <c r="I8" s="1" t="s">
        <v>22</v>
      </c>
      <c r="J8" s="1" t="s">
        <v>22</v>
      </c>
      <c r="K8" s="1" t="s">
        <v>22</v>
      </c>
      <c r="L8" s="1">
        <v>0.0</v>
      </c>
      <c r="M8" s="1" t="s">
        <v>22</v>
      </c>
      <c r="N8" s="1">
        <v>3.0</v>
      </c>
      <c r="O8" s="1" t="s">
        <v>22</v>
      </c>
      <c r="P8" s="1">
        <v>3.0</v>
      </c>
      <c r="Q8" s="3">
        <f t="shared" si="1"/>
        <v>300</v>
      </c>
    </row>
    <row r="9" ht="15.75" customHeight="1">
      <c r="A9" s="1" t="s">
        <v>351</v>
      </c>
      <c r="B9" s="4">
        <v>6.00408851E8</v>
      </c>
      <c r="C9" s="1" t="s">
        <v>391</v>
      </c>
      <c r="D9" s="1" t="s">
        <v>392</v>
      </c>
      <c r="E9" s="1">
        <v>9.0</v>
      </c>
      <c r="F9" s="1" t="s">
        <v>42</v>
      </c>
      <c r="G9" s="4" t="s">
        <v>33</v>
      </c>
      <c r="I9" s="1" t="s">
        <v>23</v>
      </c>
      <c r="J9" s="1" t="s">
        <v>23</v>
      </c>
      <c r="K9" s="1" t="s">
        <v>23</v>
      </c>
      <c r="L9" s="1">
        <v>3.0</v>
      </c>
      <c r="M9" s="1" t="s">
        <v>23</v>
      </c>
      <c r="N9" s="1">
        <v>8.0</v>
      </c>
      <c r="O9" s="1" t="s">
        <v>23</v>
      </c>
      <c r="P9" s="1">
        <f>COUNTIF(I9:O9, "✔️")</f>
        <v>0</v>
      </c>
      <c r="Q9" s="3">
        <f t="shared" si="1"/>
        <v>0</v>
      </c>
    </row>
    <row r="10" ht="15.75" customHeight="1">
      <c r="A10" s="1" t="s">
        <v>351</v>
      </c>
      <c r="B10" s="4">
        <v>6.00411702E8</v>
      </c>
      <c r="C10" s="1" t="s">
        <v>43</v>
      </c>
      <c r="D10" s="1" t="s">
        <v>393</v>
      </c>
      <c r="E10" s="1">
        <v>9.0</v>
      </c>
      <c r="F10" s="1" t="s">
        <v>20</v>
      </c>
      <c r="G10" s="4" t="s">
        <v>21</v>
      </c>
      <c r="I10" s="1" t="s">
        <v>22</v>
      </c>
      <c r="J10" s="1" t="s">
        <v>22</v>
      </c>
      <c r="K10" s="1" t="s">
        <v>22</v>
      </c>
      <c r="L10" s="1">
        <v>0.0</v>
      </c>
      <c r="M10" s="1" t="s">
        <v>22</v>
      </c>
      <c r="N10" s="1">
        <v>9.0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351</v>
      </c>
      <c r="B11" s="4">
        <v>6.00411984E8</v>
      </c>
      <c r="C11" s="1" t="s">
        <v>394</v>
      </c>
      <c r="D11" s="1" t="s">
        <v>395</v>
      </c>
      <c r="E11" s="1">
        <v>8.0</v>
      </c>
      <c r="F11" s="8" t="s">
        <v>396</v>
      </c>
      <c r="G11" s="4" t="s">
        <v>21</v>
      </c>
      <c r="I11" s="1" t="s">
        <v>22</v>
      </c>
      <c r="J11" s="1" t="s">
        <v>22</v>
      </c>
      <c r="K11" s="1" t="s">
        <v>22</v>
      </c>
      <c r="L11" s="1">
        <v>0.0</v>
      </c>
      <c r="M11" s="1" t="s">
        <v>22</v>
      </c>
      <c r="N11" s="1">
        <v>1.0</v>
      </c>
      <c r="O11" s="1" t="s">
        <v>22</v>
      </c>
      <c r="P11" s="1">
        <v>3.0</v>
      </c>
      <c r="Q11" s="3">
        <f t="shared" si="1"/>
        <v>300</v>
      </c>
    </row>
    <row r="12" ht="15.75" customHeight="1">
      <c r="A12" s="1" t="s">
        <v>351</v>
      </c>
      <c r="B12" s="4">
        <v>6.00407459E8</v>
      </c>
      <c r="C12" s="1" t="s">
        <v>192</v>
      </c>
      <c r="D12" s="1" t="s">
        <v>397</v>
      </c>
      <c r="E12" s="1">
        <v>8.0</v>
      </c>
      <c r="F12" s="1" t="s">
        <v>20</v>
      </c>
      <c r="G12" s="4" t="s">
        <v>21</v>
      </c>
      <c r="I12" s="1" t="s">
        <v>22</v>
      </c>
      <c r="J12" s="1" t="s">
        <v>22</v>
      </c>
      <c r="K12" s="1" t="s">
        <v>22</v>
      </c>
      <c r="L12" s="1">
        <v>0.0</v>
      </c>
      <c r="M12" s="1" t="s">
        <v>22</v>
      </c>
      <c r="N12" s="1">
        <v>6.0</v>
      </c>
      <c r="O12" s="1" t="s">
        <v>23</v>
      </c>
      <c r="P12" s="1">
        <v>3.0</v>
      </c>
      <c r="Q12" s="3">
        <f t="shared" si="1"/>
        <v>300</v>
      </c>
    </row>
    <row r="13" ht="15.75" customHeight="1">
      <c r="A13" s="1" t="s">
        <v>351</v>
      </c>
      <c r="B13" s="4">
        <v>6.00408887E8</v>
      </c>
      <c r="C13" s="1" t="s">
        <v>398</v>
      </c>
      <c r="D13" s="1" t="s">
        <v>399</v>
      </c>
      <c r="E13" s="1">
        <v>9.0</v>
      </c>
      <c r="F13" s="1" t="s">
        <v>20</v>
      </c>
      <c r="G13" s="4" t="s">
        <v>33</v>
      </c>
      <c r="I13" s="1" t="s">
        <v>22</v>
      </c>
      <c r="J13" s="1" t="s">
        <v>22</v>
      </c>
      <c r="K13" s="1" t="s">
        <v>22</v>
      </c>
      <c r="L13" s="1">
        <v>1.0</v>
      </c>
      <c r="M13" s="1" t="s">
        <v>22</v>
      </c>
      <c r="N13" s="1">
        <v>2.0</v>
      </c>
      <c r="O13" s="1" t="s">
        <v>22</v>
      </c>
      <c r="P13" s="1">
        <v>3.0</v>
      </c>
      <c r="Q13" s="3">
        <f t="shared" si="1"/>
        <v>300</v>
      </c>
    </row>
    <row r="14" ht="15.75" customHeight="1">
      <c r="A14" s="1" t="s">
        <v>351</v>
      </c>
      <c r="B14" s="4">
        <v>6.00411281E8</v>
      </c>
      <c r="C14" s="1" t="s">
        <v>88</v>
      </c>
      <c r="D14" s="1" t="s">
        <v>400</v>
      </c>
      <c r="E14" s="1">
        <v>8.0</v>
      </c>
      <c r="F14" s="1" t="s">
        <v>20</v>
      </c>
      <c r="G14" s="4" t="s">
        <v>21</v>
      </c>
      <c r="I14" s="1" t="s">
        <v>22</v>
      </c>
      <c r="J14" s="1" t="s">
        <v>22</v>
      </c>
      <c r="K14" s="1" t="s">
        <v>22</v>
      </c>
      <c r="L14" s="1">
        <v>0.0</v>
      </c>
      <c r="M14" s="1" t="s">
        <v>22</v>
      </c>
      <c r="N14" s="1">
        <v>5.0</v>
      </c>
      <c r="O14" s="1" t="s">
        <v>23</v>
      </c>
      <c r="P14" s="1">
        <v>3.0</v>
      </c>
      <c r="Q14" s="3">
        <f t="shared" si="1"/>
        <v>300</v>
      </c>
    </row>
    <row r="15" ht="15.75" customHeight="1">
      <c r="A15" s="1" t="s">
        <v>351</v>
      </c>
      <c r="B15" s="4">
        <v>6.0040734E8</v>
      </c>
      <c r="C15" s="1" t="s">
        <v>270</v>
      </c>
      <c r="D15" s="1" t="s">
        <v>401</v>
      </c>
      <c r="E15" s="1">
        <v>8.0</v>
      </c>
      <c r="F15" s="1" t="s">
        <v>20</v>
      </c>
      <c r="G15" s="4" t="s">
        <v>21</v>
      </c>
      <c r="I15" s="1" t="s">
        <v>22</v>
      </c>
      <c r="J15" s="1" t="s">
        <v>22</v>
      </c>
      <c r="K15" s="1" t="s">
        <v>22</v>
      </c>
      <c r="L15" s="1">
        <v>0.0</v>
      </c>
      <c r="M15" s="1" t="s">
        <v>22</v>
      </c>
      <c r="N15" s="1">
        <v>5.0</v>
      </c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351</v>
      </c>
      <c r="B16" s="4">
        <v>6.00408901E8</v>
      </c>
      <c r="C16" s="1" t="s">
        <v>402</v>
      </c>
      <c r="D16" s="1" t="s">
        <v>403</v>
      </c>
      <c r="E16" s="1">
        <v>8.0</v>
      </c>
      <c r="F16" s="1" t="s">
        <v>55</v>
      </c>
      <c r="G16" s="4" t="s">
        <v>33</v>
      </c>
      <c r="I16" s="1" t="s">
        <v>23</v>
      </c>
      <c r="J16" s="1" t="s">
        <v>23</v>
      </c>
      <c r="K16" s="1" t="s">
        <v>23</v>
      </c>
      <c r="L16" s="1">
        <v>3.0</v>
      </c>
      <c r="M16" s="1" t="s">
        <v>23</v>
      </c>
      <c r="N16" s="1">
        <v>9.0</v>
      </c>
      <c r="O16" s="1" t="s">
        <v>23</v>
      </c>
      <c r="P16" s="1">
        <v>0.0</v>
      </c>
      <c r="Q16" s="3">
        <f t="shared" si="1"/>
        <v>0</v>
      </c>
    </row>
    <row r="17" ht="15.75" customHeight="1">
      <c r="A17" s="1" t="s">
        <v>351</v>
      </c>
      <c r="B17" s="4">
        <v>6.00411866E8</v>
      </c>
      <c r="C17" s="1" t="s">
        <v>404</v>
      </c>
      <c r="D17" s="1" t="s">
        <v>405</v>
      </c>
      <c r="E17" s="1">
        <v>8.0</v>
      </c>
      <c r="F17" s="1" t="s">
        <v>20</v>
      </c>
      <c r="G17" s="4" t="s">
        <v>21</v>
      </c>
      <c r="I17" s="1" t="s">
        <v>22</v>
      </c>
      <c r="J17" s="1" t="s">
        <v>22</v>
      </c>
      <c r="K17" s="1" t="s">
        <v>22</v>
      </c>
      <c r="L17" s="1">
        <v>0.0</v>
      </c>
      <c r="M17" s="1" t="s">
        <v>22</v>
      </c>
      <c r="N17" s="1">
        <v>8.0</v>
      </c>
      <c r="O17" s="1" t="s">
        <v>23</v>
      </c>
      <c r="P17" s="1">
        <v>3.0</v>
      </c>
      <c r="Q17" s="3">
        <f t="shared" si="1"/>
        <v>300</v>
      </c>
    </row>
    <row r="18" ht="15.75" customHeight="1">
      <c r="A18" s="1" t="s">
        <v>351</v>
      </c>
      <c r="B18" s="4">
        <v>6.00408595E8</v>
      </c>
      <c r="C18" s="1" t="s">
        <v>406</v>
      </c>
      <c r="D18" s="1" t="s">
        <v>407</v>
      </c>
      <c r="E18" s="1">
        <v>8.0</v>
      </c>
      <c r="F18" s="1" t="s">
        <v>55</v>
      </c>
      <c r="G18" s="4" t="s">
        <v>33</v>
      </c>
      <c r="I18" s="1" t="s">
        <v>22</v>
      </c>
      <c r="J18" s="1" t="s">
        <v>22</v>
      </c>
      <c r="K18" s="1" t="s">
        <v>22</v>
      </c>
      <c r="L18" s="1">
        <v>0.0</v>
      </c>
      <c r="M18" s="1" t="s">
        <v>22</v>
      </c>
      <c r="N18" s="1">
        <v>8.0</v>
      </c>
      <c r="O18" s="1" t="s">
        <v>23</v>
      </c>
      <c r="P18" s="1">
        <v>3.0</v>
      </c>
      <c r="Q18" s="3">
        <f t="shared" si="1"/>
        <v>300</v>
      </c>
    </row>
    <row r="19" ht="15.75" customHeight="1">
      <c r="A19" s="1" t="s">
        <v>351</v>
      </c>
      <c r="B19" s="4">
        <v>6.00408046E8</v>
      </c>
      <c r="C19" s="1" t="s">
        <v>131</v>
      </c>
      <c r="D19" s="1" t="s">
        <v>408</v>
      </c>
      <c r="E19" s="1">
        <v>9.0</v>
      </c>
      <c r="F19" s="1" t="s">
        <v>55</v>
      </c>
      <c r="G19" s="4" t="s">
        <v>33</v>
      </c>
      <c r="I19" s="1" t="s">
        <v>22</v>
      </c>
      <c r="J19" s="1" t="s">
        <v>22</v>
      </c>
      <c r="K19" s="1" t="s">
        <v>22</v>
      </c>
      <c r="L19" s="1">
        <v>0.0</v>
      </c>
      <c r="M19" s="1" t="s">
        <v>22</v>
      </c>
      <c r="N19" s="1">
        <v>4.0</v>
      </c>
      <c r="O19" s="1" t="s">
        <v>22</v>
      </c>
      <c r="P19" s="1">
        <v>3.0</v>
      </c>
      <c r="Q19" s="3">
        <f t="shared" si="1"/>
        <v>300</v>
      </c>
    </row>
    <row r="20" ht="15.75" customHeight="1">
      <c r="A20" s="1" t="s">
        <v>351</v>
      </c>
      <c r="I20" s="1"/>
      <c r="J20" s="1"/>
      <c r="K20" s="1"/>
      <c r="L20" s="1"/>
      <c r="M20" s="1"/>
      <c r="N20" s="1"/>
      <c r="O20" s="1"/>
      <c r="P20" s="1">
        <f t="shared" ref="P20:P32" si="2">COUNTIF(I20:O20, "✔️")</f>
        <v>0</v>
      </c>
      <c r="Q20" s="3">
        <f t="shared" si="1"/>
        <v>0</v>
      </c>
    </row>
    <row r="21" ht="15.75" customHeight="1">
      <c r="A21" s="1" t="s">
        <v>351</v>
      </c>
      <c r="I21" s="1"/>
      <c r="J21" s="1"/>
      <c r="K21" s="1"/>
      <c r="L21" s="1"/>
      <c r="M21" s="1"/>
      <c r="N21" s="1"/>
      <c r="O21" s="1"/>
      <c r="P21" s="1">
        <f t="shared" si="2"/>
        <v>0</v>
      </c>
      <c r="Q21" s="3">
        <f t="shared" si="1"/>
        <v>0</v>
      </c>
    </row>
    <row r="22" ht="15.75" customHeight="1">
      <c r="A22" s="1" t="s">
        <v>351</v>
      </c>
      <c r="I22" s="1"/>
      <c r="J22" s="1"/>
      <c r="K22" s="1"/>
      <c r="L22" s="1"/>
      <c r="M22" s="1"/>
      <c r="N22" s="1"/>
      <c r="O22" s="1"/>
      <c r="P22" s="1">
        <f t="shared" si="2"/>
        <v>0</v>
      </c>
      <c r="Q22" s="3">
        <f t="shared" si="1"/>
        <v>0</v>
      </c>
    </row>
    <row r="23" ht="15.75" customHeight="1">
      <c r="A23" s="1" t="s">
        <v>351</v>
      </c>
      <c r="I23" s="1"/>
      <c r="J23" s="1"/>
      <c r="K23" s="1"/>
      <c r="L23" s="1"/>
      <c r="M23" s="1"/>
      <c r="N23" s="1"/>
      <c r="O23" s="1"/>
      <c r="P23" s="1">
        <f t="shared" si="2"/>
        <v>0</v>
      </c>
      <c r="Q23" s="3">
        <f t="shared" si="1"/>
        <v>0</v>
      </c>
    </row>
    <row r="24" ht="15.75" customHeight="1">
      <c r="A24" s="1" t="s">
        <v>351</v>
      </c>
      <c r="I24" s="1"/>
      <c r="J24" s="1"/>
      <c r="K24" s="1"/>
      <c r="L24" s="1"/>
      <c r="M24" s="1"/>
      <c r="N24" s="1"/>
      <c r="O24" s="1"/>
      <c r="P24" s="1">
        <f t="shared" si="2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2"/>
        <v>0</v>
      </c>
      <c r="Q31" s="3">
        <f t="shared" si="1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2"/>
        <v>0</v>
      </c>
      <c r="Q32" s="3">
        <f t="shared" si="1"/>
        <v>0</v>
      </c>
    </row>
    <row r="33" ht="15.75" customHeight="1">
      <c r="I33" s="1">
        <f t="shared" ref="I33:K33" si="3">COUNTIF(I2:I32, "✔️")</f>
        <v>16</v>
      </c>
      <c r="J33" s="1">
        <f t="shared" si="3"/>
        <v>16</v>
      </c>
      <c r="K33" s="1">
        <f t="shared" si="3"/>
        <v>16</v>
      </c>
      <c r="L33" s="1"/>
      <c r="M33" s="1">
        <f>COUNTIF(M2:M32, "✔️")</f>
        <v>16</v>
      </c>
      <c r="N33" s="1"/>
      <c r="O33" s="1">
        <f>COUNTIF(O2:O32, "✔️")</f>
        <v>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2">
    <cfRule type="notContainsBlanks" dxfId="0" priority="1">
      <formula>LEN(TRIM(I2))&gt;0</formula>
    </cfRule>
  </conditionalFormatting>
  <conditionalFormatting sqref="Q2:Q32">
    <cfRule type="notContainsBlanks" dxfId="0" priority="2">
      <formula>LEN(TRIM(Q2))&gt;0</formula>
    </cfRule>
  </conditionalFormatting>
  <dataValidations>
    <dataValidation type="list" allowBlank="1" showErrorMessage="1" sqref="I2:K32 M2:M32 O2:O32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351</v>
      </c>
      <c r="B2" s="4">
        <v>6.00406821E8</v>
      </c>
      <c r="C2" s="1" t="s">
        <v>244</v>
      </c>
      <c r="D2" s="1" t="s">
        <v>115</v>
      </c>
      <c r="E2" s="1">
        <v>9.0</v>
      </c>
      <c r="F2" s="1" t="s">
        <v>20</v>
      </c>
      <c r="G2" s="4" t="s">
        <v>33</v>
      </c>
      <c r="I2" s="1" t="s">
        <v>22</v>
      </c>
      <c r="J2" s="1"/>
      <c r="K2" s="1" t="s">
        <v>22</v>
      </c>
      <c r="L2" s="1"/>
      <c r="M2" s="1" t="s">
        <v>22</v>
      </c>
      <c r="N2" s="1">
        <v>0.0</v>
      </c>
      <c r="O2" s="1" t="s">
        <v>22</v>
      </c>
      <c r="P2" s="1">
        <v>3.0</v>
      </c>
      <c r="Q2" s="3">
        <f t="shared" ref="Q2:Q30" si="1">IF(P2=1, 100, IF(P2=2, 200, IF(P2=3, 300, 0)))</f>
        <v>300</v>
      </c>
    </row>
    <row r="3" ht="15.75" customHeight="1">
      <c r="A3" s="1" t="s">
        <v>351</v>
      </c>
      <c r="B3" s="4">
        <v>6.00410495E8</v>
      </c>
      <c r="C3" s="1" t="s">
        <v>283</v>
      </c>
      <c r="D3" s="1" t="s">
        <v>409</v>
      </c>
      <c r="E3" s="1">
        <v>8.0</v>
      </c>
      <c r="F3" s="1" t="s">
        <v>55</v>
      </c>
      <c r="G3" s="4" t="s">
        <v>21</v>
      </c>
      <c r="I3" s="1" t="s">
        <v>22</v>
      </c>
      <c r="J3" s="1"/>
      <c r="K3" s="1" t="s">
        <v>22</v>
      </c>
      <c r="L3" s="1"/>
      <c r="M3" s="1" t="s">
        <v>22</v>
      </c>
      <c r="N3" s="1">
        <v>5.0</v>
      </c>
      <c r="O3" s="1" t="s">
        <v>23</v>
      </c>
      <c r="P3" s="1">
        <v>3.0</v>
      </c>
      <c r="Q3" s="3">
        <f t="shared" si="1"/>
        <v>300</v>
      </c>
    </row>
    <row r="4" ht="15.75" customHeight="1">
      <c r="A4" s="1" t="s">
        <v>351</v>
      </c>
      <c r="B4" s="4">
        <v>6.00408433E8</v>
      </c>
      <c r="C4" s="1" t="s">
        <v>410</v>
      </c>
      <c r="D4" s="1" t="s">
        <v>411</v>
      </c>
      <c r="E4" s="1">
        <v>10.0</v>
      </c>
      <c r="F4" s="1" t="s">
        <v>20</v>
      </c>
      <c r="G4" s="4" t="s">
        <v>33</v>
      </c>
      <c r="I4" s="1" t="s">
        <v>22</v>
      </c>
      <c r="J4" s="1"/>
      <c r="K4" s="1" t="s">
        <v>22</v>
      </c>
      <c r="L4" s="1"/>
      <c r="M4" s="1" t="s">
        <v>22</v>
      </c>
      <c r="N4" s="1">
        <v>5.0</v>
      </c>
      <c r="O4" s="1" t="s">
        <v>23</v>
      </c>
      <c r="P4" s="1">
        <v>3.0</v>
      </c>
      <c r="Q4" s="3">
        <f t="shared" si="1"/>
        <v>300</v>
      </c>
    </row>
    <row r="5" ht="15.75" customHeight="1">
      <c r="A5" s="1" t="s">
        <v>351</v>
      </c>
      <c r="B5" s="4">
        <v>6.0041073E8</v>
      </c>
      <c r="C5" s="1" t="s">
        <v>410</v>
      </c>
      <c r="D5" s="1" t="s">
        <v>412</v>
      </c>
      <c r="E5" s="1">
        <v>8.0</v>
      </c>
      <c r="F5" s="1" t="s">
        <v>20</v>
      </c>
      <c r="G5" s="4"/>
      <c r="I5" s="1" t="s">
        <v>22</v>
      </c>
      <c r="J5" s="1"/>
      <c r="K5" s="1" t="s">
        <v>22</v>
      </c>
      <c r="L5" s="1"/>
      <c r="M5" s="1" t="s">
        <v>22</v>
      </c>
      <c r="N5" s="1">
        <v>2.0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351</v>
      </c>
      <c r="B6" s="4">
        <v>6.00409014E8</v>
      </c>
      <c r="C6" s="1" t="s">
        <v>413</v>
      </c>
      <c r="D6" s="1" t="s">
        <v>414</v>
      </c>
      <c r="E6" s="1">
        <v>8.0</v>
      </c>
      <c r="F6" s="1" t="s">
        <v>55</v>
      </c>
      <c r="G6" s="4" t="s">
        <v>21</v>
      </c>
      <c r="I6" s="1" t="s">
        <v>22</v>
      </c>
      <c r="J6" s="1"/>
      <c r="K6" s="1" t="s">
        <v>22</v>
      </c>
      <c r="L6" s="1"/>
      <c r="M6" s="1" t="s">
        <v>22</v>
      </c>
      <c r="N6" s="1">
        <v>0.0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1" t="s">
        <v>351</v>
      </c>
      <c r="B7" s="4">
        <v>6.00407486E8</v>
      </c>
      <c r="C7" s="1" t="s">
        <v>78</v>
      </c>
      <c r="D7" s="1" t="s">
        <v>183</v>
      </c>
      <c r="E7" s="1">
        <v>9.0</v>
      </c>
      <c r="F7" s="1" t="s">
        <v>55</v>
      </c>
      <c r="G7" s="4" t="s">
        <v>33</v>
      </c>
      <c r="I7" s="1" t="s">
        <v>22</v>
      </c>
      <c r="J7" s="1"/>
      <c r="K7" s="1" t="s">
        <v>22</v>
      </c>
      <c r="L7" s="1"/>
      <c r="M7" s="1" t="s">
        <v>22</v>
      </c>
      <c r="N7" s="1">
        <v>1.0</v>
      </c>
      <c r="O7" s="1" t="s">
        <v>22</v>
      </c>
      <c r="P7" s="1">
        <v>3.0</v>
      </c>
      <c r="Q7" s="3">
        <f t="shared" si="1"/>
        <v>300</v>
      </c>
    </row>
    <row r="8" ht="15.75" customHeight="1">
      <c r="A8" s="1" t="s">
        <v>351</v>
      </c>
      <c r="B8" s="4">
        <v>6.00407105E8</v>
      </c>
      <c r="C8" s="1" t="s">
        <v>391</v>
      </c>
      <c r="D8" s="1" t="s">
        <v>415</v>
      </c>
      <c r="E8" s="1">
        <v>9.0</v>
      </c>
      <c r="F8" s="1" t="s">
        <v>42</v>
      </c>
      <c r="G8" s="4" t="s">
        <v>33</v>
      </c>
      <c r="I8" s="1" t="s">
        <v>22</v>
      </c>
      <c r="J8" s="1"/>
      <c r="K8" s="1" t="s">
        <v>22</v>
      </c>
      <c r="L8" s="1"/>
      <c r="M8" s="1" t="s">
        <v>22</v>
      </c>
      <c r="N8" s="1">
        <v>2.0</v>
      </c>
      <c r="O8" s="1" t="s">
        <v>22</v>
      </c>
      <c r="P8" s="1">
        <v>3.0</v>
      </c>
      <c r="Q8" s="3">
        <f t="shared" si="1"/>
        <v>300</v>
      </c>
    </row>
    <row r="9" ht="15.75" customHeight="1">
      <c r="A9" s="1" t="s">
        <v>351</v>
      </c>
      <c r="B9" s="4">
        <v>6.00407217E8</v>
      </c>
      <c r="C9" s="1" t="s">
        <v>40</v>
      </c>
      <c r="D9" s="1" t="s">
        <v>416</v>
      </c>
      <c r="E9" s="1">
        <v>9.0</v>
      </c>
      <c r="F9" s="1" t="s">
        <v>20</v>
      </c>
      <c r="G9" s="4" t="s">
        <v>21</v>
      </c>
      <c r="I9" s="1" t="s">
        <v>22</v>
      </c>
      <c r="J9" s="1"/>
      <c r="K9" s="1" t="s">
        <v>22</v>
      </c>
      <c r="L9" s="1"/>
      <c r="M9" s="1" t="s">
        <v>22</v>
      </c>
      <c r="N9" s="1">
        <v>1.0</v>
      </c>
      <c r="O9" s="1" t="s">
        <v>22</v>
      </c>
      <c r="P9" s="1">
        <v>3.0</v>
      </c>
      <c r="Q9" s="3">
        <f t="shared" si="1"/>
        <v>300</v>
      </c>
    </row>
    <row r="10" ht="15.75" customHeight="1">
      <c r="A10" s="1" t="s">
        <v>351</v>
      </c>
      <c r="B10" s="4">
        <v>6.00412045E8</v>
      </c>
      <c r="C10" s="1" t="s">
        <v>183</v>
      </c>
      <c r="D10" s="1" t="s">
        <v>417</v>
      </c>
      <c r="E10" s="1">
        <v>9.0</v>
      </c>
      <c r="F10" s="1" t="s">
        <v>20</v>
      </c>
      <c r="G10" s="4" t="s">
        <v>33</v>
      </c>
      <c r="I10" s="1" t="s">
        <v>22</v>
      </c>
      <c r="J10" s="1"/>
      <c r="K10" s="1" t="s">
        <v>22</v>
      </c>
      <c r="L10" s="1"/>
      <c r="M10" s="1" t="s">
        <v>22</v>
      </c>
      <c r="N10" s="1">
        <v>6.0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351</v>
      </c>
      <c r="B11" s="4">
        <v>6.00408823E8</v>
      </c>
      <c r="C11" s="1" t="s">
        <v>120</v>
      </c>
      <c r="D11" s="1" t="s">
        <v>418</v>
      </c>
      <c r="E11" s="1">
        <v>8.0</v>
      </c>
      <c r="F11" s="1" t="s">
        <v>20</v>
      </c>
      <c r="G11" s="4" t="s">
        <v>21</v>
      </c>
      <c r="I11" s="1" t="s">
        <v>22</v>
      </c>
      <c r="J11" s="1"/>
      <c r="K11" s="1" t="s">
        <v>22</v>
      </c>
      <c r="L11" s="1"/>
      <c r="M11" s="1" t="s">
        <v>22</v>
      </c>
      <c r="N11" s="1">
        <v>4.0</v>
      </c>
      <c r="O11" s="1" t="s">
        <v>23</v>
      </c>
      <c r="P11" s="1">
        <v>3.0</v>
      </c>
      <c r="Q11" s="3">
        <f t="shared" si="1"/>
        <v>300</v>
      </c>
    </row>
    <row r="12" ht="15.75" customHeight="1">
      <c r="A12" s="1" t="s">
        <v>351</v>
      </c>
      <c r="B12" s="4">
        <v>6.00409436E8</v>
      </c>
      <c r="C12" s="1" t="s">
        <v>419</v>
      </c>
      <c r="D12" s="1" t="s">
        <v>420</v>
      </c>
      <c r="E12" s="1">
        <v>8.0</v>
      </c>
      <c r="F12" s="1" t="s">
        <v>55</v>
      </c>
      <c r="G12" s="4" t="s">
        <v>33</v>
      </c>
      <c r="I12" s="1" t="s">
        <v>22</v>
      </c>
      <c r="J12" s="1"/>
      <c r="K12" s="1" t="s">
        <v>22</v>
      </c>
      <c r="L12" s="1"/>
      <c r="M12" s="1" t="s">
        <v>22</v>
      </c>
      <c r="N12" s="1">
        <v>12.0</v>
      </c>
      <c r="O12" s="1" t="s">
        <v>23</v>
      </c>
      <c r="P12" s="1">
        <v>3.0</v>
      </c>
      <c r="Q12" s="3">
        <f t="shared" si="1"/>
        <v>300</v>
      </c>
    </row>
    <row r="13" ht="15.75" customHeight="1">
      <c r="A13" s="1" t="s">
        <v>351</v>
      </c>
      <c r="B13" s="4">
        <v>6.00407367E8</v>
      </c>
      <c r="C13" s="1" t="s">
        <v>88</v>
      </c>
      <c r="D13" s="1" t="s">
        <v>421</v>
      </c>
      <c r="E13" s="1">
        <v>8.0</v>
      </c>
      <c r="F13" s="1" t="s">
        <v>20</v>
      </c>
      <c r="G13" s="4" t="s">
        <v>33</v>
      </c>
      <c r="I13" s="1" t="s">
        <v>22</v>
      </c>
      <c r="J13" s="1"/>
      <c r="K13" s="1" t="s">
        <v>22</v>
      </c>
      <c r="L13" s="1">
        <v>1.0</v>
      </c>
      <c r="M13" s="1" t="s">
        <v>22</v>
      </c>
      <c r="N13" s="1">
        <v>4.0</v>
      </c>
      <c r="O13" s="1" t="s">
        <v>23</v>
      </c>
      <c r="P13" s="1">
        <v>3.0</v>
      </c>
      <c r="Q13" s="3">
        <f t="shared" si="1"/>
        <v>300</v>
      </c>
    </row>
    <row r="14" ht="15.75" customHeight="1">
      <c r="A14" s="1" t="s">
        <v>351</v>
      </c>
      <c r="B14" s="4">
        <v>6.00412415E8</v>
      </c>
      <c r="C14" s="1" t="s">
        <v>422</v>
      </c>
      <c r="D14" s="1" t="s">
        <v>316</v>
      </c>
      <c r="E14" s="1">
        <v>8.0</v>
      </c>
      <c r="F14" s="1" t="s">
        <v>55</v>
      </c>
      <c r="G14" s="4" t="s">
        <v>21</v>
      </c>
      <c r="I14" s="1" t="s">
        <v>22</v>
      </c>
      <c r="J14" s="1"/>
      <c r="K14" s="1" t="s">
        <v>22</v>
      </c>
      <c r="L14" s="1"/>
      <c r="M14" s="1" t="s">
        <v>22</v>
      </c>
      <c r="N14" s="1">
        <v>1.0</v>
      </c>
      <c r="O14" s="1" t="s">
        <v>22</v>
      </c>
      <c r="P14" s="1">
        <v>3.0</v>
      </c>
      <c r="Q14" s="3">
        <f t="shared" si="1"/>
        <v>300</v>
      </c>
    </row>
    <row r="15" ht="15.75" customHeight="1">
      <c r="A15" s="1" t="s">
        <v>351</v>
      </c>
      <c r="B15" s="4">
        <v>6.00409138E8</v>
      </c>
      <c r="C15" s="1" t="s">
        <v>423</v>
      </c>
      <c r="D15" s="1" t="s">
        <v>424</v>
      </c>
      <c r="E15" s="1">
        <v>9.0</v>
      </c>
      <c r="F15" s="1" t="s">
        <v>42</v>
      </c>
      <c r="G15" s="4" t="s">
        <v>33</v>
      </c>
      <c r="I15" s="1" t="s">
        <v>22</v>
      </c>
      <c r="J15" s="1"/>
      <c r="K15" s="1" t="s">
        <v>22</v>
      </c>
      <c r="L15" s="1"/>
      <c r="M15" s="1" t="s">
        <v>22</v>
      </c>
      <c r="N15" s="1">
        <v>6.0</v>
      </c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351</v>
      </c>
      <c r="B16" s="4">
        <v>6.00409612E8</v>
      </c>
      <c r="C16" s="1" t="s">
        <v>425</v>
      </c>
      <c r="D16" s="1" t="s">
        <v>426</v>
      </c>
      <c r="E16" s="1">
        <v>9.0</v>
      </c>
      <c r="F16" s="1" t="s">
        <v>20</v>
      </c>
      <c r="G16" s="4" t="s">
        <v>21</v>
      </c>
      <c r="I16" s="1" t="s">
        <v>22</v>
      </c>
      <c r="J16" s="1"/>
      <c r="K16" s="1" t="s">
        <v>22</v>
      </c>
      <c r="L16" s="1"/>
      <c r="M16" s="1" t="s">
        <v>22</v>
      </c>
      <c r="N16" s="1">
        <v>4.0</v>
      </c>
      <c r="O16" s="1" t="s">
        <v>23</v>
      </c>
      <c r="P16" s="1">
        <v>3.0</v>
      </c>
      <c r="Q16" s="3">
        <f t="shared" si="1"/>
        <v>300</v>
      </c>
    </row>
    <row r="17" ht="15.75" customHeight="1">
      <c r="A17" s="1" t="s">
        <v>351</v>
      </c>
      <c r="B17" s="4">
        <v>6.00412785E8</v>
      </c>
      <c r="C17" s="1" t="s">
        <v>131</v>
      </c>
      <c r="D17" s="1" t="s">
        <v>427</v>
      </c>
      <c r="E17" s="1">
        <v>9.0</v>
      </c>
      <c r="F17" s="1" t="s">
        <v>20</v>
      </c>
      <c r="G17" s="4" t="s">
        <v>33</v>
      </c>
      <c r="I17" s="1" t="s">
        <v>22</v>
      </c>
      <c r="J17" s="1"/>
      <c r="K17" s="1" t="s">
        <v>22</v>
      </c>
      <c r="L17" s="1"/>
      <c r="M17" s="1" t="s">
        <v>22</v>
      </c>
      <c r="N17" s="1">
        <v>3.0</v>
      </c>
      <c r="O17" s="1" t="s">
        <v>22</v>
      </c>
      <c r="P17" s="1">
        <v>3.0</v>
      </c>
      <c r="Q17" s="3">
        <f t="shared" si="1"/>
        <v>300</v>
      </c>
    </row>
    <row r="18" ht="15.75" customHeight="1">
      <c r="A18" s="1" t="s">
        <v>351</v>
      </c>
      <c r="B18" s="4">
        <v>6.00407535E8</v>
      </c>
      <c r="C18" s="1" t="s">
        <v>131</v>
      </c>
      <c r="D18" s="1" t="s">
        <v>428</v>
      </c>
      <c r="E18" s="1">
        <v>8.0</v>
      </c>
      <c r="F18" s="1" t="s">
        <v>20</v>
      </c>
      <c r="G18" s="4" t="s">
        <v>21</v>
      </c>
      <c r="I18" s="1" t="s">
        <v>22</v>
      </c>
      <c r="J18" s="1"/>
      <c r="K18" s="1" t="s">
        <v>22</v>
      </c>
      <c r="L18" s="1"/>
      <c r="M18" s="1" t="s">
        <v>22</v>
      </c>
      <c r="N18" s="1">
        <v>3.0</v>
      </c>
      <c r="O18" s="1" t="s">
        <v>22</v>
      </c>
      <c r="P18" s="1">
        <v>3.0</v>
      </c>
      <c r="Q18" s="3">
        <f t="shared" si="1"/>
        <v>300</v>
      </c>
    </row>
    <row r="19" ht="15.75" customHeight="1">
      <c r="A19" s="1" t="s">
        <v>351</v>
      </c>
      <c r="B19" s="4">
        <v>6.00411583E8</v>
      </c>
      <c r="C19" s="1" t="s">
        <v>429</v>
      </c>
      <c r="D19" s="1" t="s">
        <v>430</v>
      </c>
      <c r="E19" s="1">
        <v>9.0</v>
      </c>
      <c r="F19" s="1" t="s">
        <v>20</v>
      </c>
      <c r="G19" s="4" t="s">
        <v>21</v>
      </c>
      <c r="I19" s="1" t="s">
        <v>22</v>
      </c>
      <c r="J19" s="1"/>
      <c r="K19" s="1" t="s">
        <v>22</v>
      </c>
      <c r="L19" s="1"/>
      <c r="M19" s="1" t="s">
        <v>22</v>
      </c>
      <c r="N19" s="1">
        <v>9.0</v>
      </c>
      <c r="O19" s="1" t="s">
        <v>23</v>
      </c>
      <c r="P19" s="1">
        <v>3.0</v>
      </c>
      <c r="Q19" s="3">
        <f t="shared" si="1"/>
        <v>300</v>
      </c>
    </row>
    <row r="20" ht="15.75" customHeight="1">
      <c r="A20" s="1" t="s">
        <v>351</v>
      </c>
      <c r="C20" s="1"/>
      <c r="D20" s="1"/>
      <c r="I20" s="1"/>
      <c r="J20" s="1"/>
      <c r="K20" s="1"/>
      <c r="L20" s="1"/>
      <c r="M20" s="1"/>
      <c r="N20" s="1"/>
      <c r="O20" s="1"/>
      <c r="P20" s="1">
        <f t="shared" ref="P20:P30" si="2">COUNTIF(I20:O20, "✔️")</f>
        <v>0</v>
      </c>
      <c r="Q20" s="3">
        <f t="shared" si="1"/>
        <v>0</v>
      </c>
    </row>
    <row r="21" ht="15.75" customHeight="1">
      <c r="A21" s="1" t="s">
        <v>351</v>
      </c>
      <c r="I21" s="1"/>
      <c r="J21" s="1"/>
      <c r="K21" s="1"/>
      <c r="L21" s="1"/>
      <c r="M21" s="1"/>
      <c r="N21" s="1"/>
      <c r="O21" s="1"/>
      <c r="P21" s="1">
        <f t="shared" si="2"/>
        <v>0</v>
      </c>
      <c r="Q21" s="3">
        <f t="shared" si="1"/>
        <v>0</v>
      </c>
    </row>
    <row r="22" ht="15.75" customHeight="1">
      <c r="A22" s="1" t="s">
        <v>351</v>
      </c>
      <c r="I22" s="1"/>
      <c r="J22" s="1"/>
      <c r="K22" s="1"/>
      <c r="L22" s="1"/>
      <c r="M22" s="1"/>
      <c r="N22" s="1"/>
      <c r="O22" s="1"/>
      <c r="P22" s="1">
        <f t="shared" si="2"/>
        <v>0</v>
      </c>
      <c r="Q22" s="3">
        <f t="shared" si="1"/>
        <v>0</v>
      </c>
    </row>
    <row r="23" ht="15.75" customHeight="1">
      <c r="A23" s="1" t="s">
        <v>351</v>
      </c>
      <c r="I23" s="1"/>
      <c r="J23" s="1"/>
      <c r="K23" s="1"/>
      <c r="L23" s="1"/>
      <c r="M23" s="1"/>
      <c r="N23" s="1"/>
      <c r="O23" s="1"/>
      <c r="P23" s="1">
        <f t="shared" si="2"/>
        <v>0</v>
      </c>
      <c r="Q23" s="3">
        <f t="shared" si="1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2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>
        <f t="shared" ref="I31:K31" si="3">COUNTIF(I2:I30, "✔️")</f>
        <v>18</v>
      </c>
      <c r="J31" s="1">
        <f t="shared" si="3"/>
        <v>0</v>
      </c>
      <c r="K31" s="1">
        <f t="shared" si="3"/>
        <v>18</v>
      </c>
      <c r="L31" s="1"/>
      <c r="M31" s="1">
        <f>COUNTIF(M2:M30, "✔️")</f>
        <v>18</v>
      </c>
      <c r="N31" s="1"/>
      <c r="O31" s="1">
        <f>COUNTIF(O2:O30, "✔️")</f>
        <v>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0">
    <cfRule type="notContainsBlanks" dxfId="0" priority="1">
      <formula>LEN(TRIM(I2))&gt;0</formula>
    </cfRule>
  </conditionalFormatting>
  <conditionalFormatting sqref="Q2:Q30">
    <cfRule type="notContainsBlanks" dxfId="0" priority="2">
      <formula>LEN(TRIM(Q2))&gt;0</formula>
    </cfRule>
  </conditionalFormatting>
  <dataValidations>
    <dataValidation type="list" allowBlank="1" showErrorMessage="1" sqref="I2:K30 M2:M30 O2:O30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351</v>
      </c>
      <c r="B2" s="4">
        <v>6.00406441E8</v>
      </c>
      <c r="C2" s="1" t="s">
        <v>99</v>
      </c>
      <c r="D2" s="1" t="s">
        <v>431</v>
      </c>
      <c r="E2" s="1">
        <v>8.0</v>
      </c>
      <c r="F2" s="1" t="s">
        <v>20</v>
      </c>
      <c r="G2" s="4" t="s">
        <v>21</v>
      </c>
      <c r="I2" s="1" t="s">
        <v>22</v>
      </c>
      <c r="J2" s="1" t="s">
        <v>22</v>
      </c>
      <c r="K2" s="1" t="s">
        <v>22</v>
      </c>
      <c r="L2" s="1">
        <v>0.0</v>
      </c>
      <c r="M2" s="1" t="s">
        <v>22</v>
      </c>
      <c r="O2" s="1" t="s">
        <v>22</v>
      </c>
      <c r="P2" s="1">
        <v>3.0</v>
      </c>
      <c r="Q2" s="3">
        <v>300.0</v>
      </c>
    </row>
    <row r="3" ht="15.75" customHeight="1">
      <c r="A3" s="1" t="s">
        <v>351</v>
      </c>
      <c r="B3" s="4">
        <v>6.00408958E8</v>
      </c>
      <c r="C3" s="1" t="s">
        <v>432</v>
      </c>
      <c r="D3" s="1" t="s">
        <v>433</v>
      </c>
      <c r="E3" s="1">
        <v>8.0</v>
      </c>
      <c r="F3" s="1" t="s">
        <v>55</v>
      </c>
      <c r="G3" s="4" t="s">
        <v>21</v>
      </c>
      <c r="I3" s="1" t="s">
        <v>22</v>
      </c>
      <c r="J3" s="1" t="s">
        <v>22</v>
      </c>
      <c r="K3" s="1" t="s">
        <v>22</v>
      </c>
      <c r="L3" s="1">
        <v>0.0</v>
      </c>
      <c r="M3" s="1" t="s">
        <v>22</v>
      </c>
      <c r="O3" s="1" t="s">
        <v>22</v>
      </c>
      <c r="P3" s="1">
        <v>3.0</v>
      </c>
      <c r="Q3" s="3">
        <f t="shared" ref="Q3:Q31" si="1">IF(P3=1, 100, IF(P3=2, 200, IF(P3=3, 300, 0)))</f>
        <v>300</v>
      </c>
    </row>
    <row r="4" ht="15.75" customHeight="1">
      <c r="A4" s="1" t="s">
        <v>351</v>
      </c>
      <c r="B4" s="4">
        <v>6.00408544E8</v>
      </c>
      <c r="C4" s="1" t="s">
        <v>434</v>
      </c>
      <c r="D4" s="1" t="s">
        <v>285</v>
      </c>
      <c r="E4" s="1">
        <v>8.0</v>
      </c>
      <c r="F4" s="1" t="s">
        <v>20</v>
      </c>
      <c r="G4" s="4" t="s">
        <v>33</v>
      </c>
      <c r="I4" s="1" t="s">
        <v>22</v>
      </c>
      <c r="J4" s="1" t="s">
        <v>22</v>
      </c>
      <c r="K4" s="1" t="s">
        <v>22</v>
      </c>
      <c r="L4" s="1">
        <v>0.0</v>
      </c>
      <c r="M4" s="1" t="s">
        <v>22</v>
      </c>
      <c r="O4" s="1" t="s">
        <v>22</v>
      </c>
      <c r="P4" s="1">
        <v>3.0</v>
      </c>
      <c r="Q4" s="3">
        <f t="shared" si="1"/>
        <v>300</v>
      </c>
    </row>
    <row r="5" ht="15.75" customHeight="1">
      <c r="A5" s="1" t="s">
        <v>351</v>
      </c>
      <c r="B5" s="4">
        <v>6.00407336E8</v>
      </c>
      <c r="C5" s="1" t="s">
        <v>435</v>
      </c>
      <c r="D5" s="1" t="s">
        <v>436</v>
      </c>
      <c r="E5" s="1">
        <v>9.0</v>
      </c>
      <c r="F5" s="1" t="s">
        <v>20</v>
      </c>
      <c r="G5" s="4" t="s">
        <v>33</v>
      </c>
      <c r="I5" s="1" t="s">
        <v>22</v>
      </c>
      <c r="J5" s="1" t="s">
        <v>22</v>
      </c>
      <c r="K5" s="1" t="s">
        <v>22</v>
      </c>
      <c r="L5" s="1">
        <v>0.0</v>
      </c>
      <c r="M5" s="1" t="s">
        <v>22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351</v>
      </c>
      <c r="B6" s="4">
        <v>6.00411785E8</v>
      </c>
      <c r="C6" s="1" t="s">
        <v>219</v>
      </c>
      <c r="D6" s="1" t="s">
        <v>437</v>
      </c>
      <c r="E6" s="1">
        <v>9.0</v>
      </c>
      <c r="F6" s="1" t="s">
        <v>55</v>
      </c>
      <c r="G6" s="4" t="s">
        <v>21</v>
      </c>
      <c r="I6" s="1" t="s">
        <v>22</v>
      </c>
      <c r="J6" s="1" t="s">
        <v>22</v>
      </c>
      <c r="K6" s="1" t="s">
        <v>22</v>
      </c>
      <c r="L6" s="1">
        <v>0.0</v>
      </c>
      <c r="M6" s="1" t="s">
        <v>22</v>
      </c>
      <c r="O6" s="1" t="s">
        <v>23</v>
      </c>
      <c r="P6" s="1">
        <v>3.0</v>
      </c>
      <c r="Q6" s="3">
        <f t="shared" si="1"/>
        <v>300</v>
      </c>
    </row>
    <row r="7" ht="15.75" customHeight="1">
      <c r="A7" s="1" t="s">
        <v>351</v>
      </c>
      <c r="B7" s="4">
        <v>6.00410729E8</v>
      </c>
      <c r="C7" s="1" t="s">
        <v>410</v>
      </c>
      <c r="D7" s="1" t="s">
        <v>438</v>
      </c>
      <c r="E7" s="1">
        <v>8.0</v>
      </c>
      <c r="F7" s="1" t="s">
        <v>20</v>
      </c>
      <c r="G7" s="4" t="s">
        <v>33</v>
      </c>
      <c r="I7" s="1" t="s">
        <v>22</v>
      </c>
      <c r="J7" s="1" t="s">
        <v>22</v>
      </c>
      <c r="K7" s="1" t="s">
        <v>22</v>
      </c>
      <c r="L7" s="1">
        <v>0.0</v>
      </c>
      <c r="M7" s="1" t="s">
        <v>22</v>
      </c>
      <c r="O7" s="1" t="s">
        <v>22</v>
      </c>
      <c r="P7" s="1">
        <v>3.0</v>
      </c>
      <c r="Q7" s="3">
        <f t="shared" si="1"/>
        <v>300</v>
      </c>
    </row>
    <row r="8" ht="15.75" customHeight="1">
      <c r="A8" s="1" t="s">
        <v>351</v>
      </c>
      <c r="B8" s="4">
        <v>6.00406341E8</v>
      </c>
      <c r="C8" s="1" t="s">
        <v>387</v>
      </c>
      <c r="D8" s="1" t="s">
        <v>439</v>
      </c>
      <c r="E8" s="1">
        <v>8.0</v>
      </c>
      <c r="F8" s="1" t="s">
        <v>20</v>
      </c>
      <c r="G8" s="4" t="s">
        <v>21</v>
      </c>
      <c r="I8" s="1" t="s">
        <v>22</v>
      </c>
      <c r="J8" s="1" t="s">
        <v>22</v>
      </c>
      <c r="K8" s="1" t="s">
        <v>22</v>
      </c>
      <c r="L8" s="1">
        <v>0.0</v>
      </c>
      <c r="M8" s="1" t="s">
        <v>22</v>
      </c>
      <c r="O8" s="1" t="s">
        <v>22</v>
      </c>
      <c r="P8" s="1">
        <v>3.0</v>
      </c>
      <c r="Q8" s="3">
        <f t="shared" si="1"/>
        <v>300</v>
      </c>
    </row>
    <row r="9" ht="15.75" customHeight="1">
      <c r="A9" s="1" t="s">
        <v>351</v>
      </c>
      <c r="B9" s="4">
        <v>6.0041162E8</v>
      </c>
      <c r="C9" s="1" t="s">
        <v>440</v>
      </c>
      <c r="D9" s="1" t="s">
        <v>441</v>
      </c>
      <c r="E9" s="1">
        <v>8.0</v>
      </c>
      <c r="F9" s="1" t="s">
        <v>20</v>
      </c>
      <c r="G9" s="4" t="s">
        <v>33</v>
      </c>
      <c r="I9" s="1" t="s">
        <v>22</v>
      </c>
      <c r="J9" s="1" t="s">
        <v>22</v>
      </c>
      <c r="K9" s="1" t="s">
        <v>22</v>
      </c>
      <c r="L9" s="1">
        <v>0.0</v>
      </c>
      <c r="M9" s="1" t="s">
        <v>22</v>
      </c>
      <c r="O9" s="1" t="s">
        <v>23</v>
      </c>
      <c r="P9" s="1">
        <v>3.0</v>
      </c>
      <c r="Q9" s="3">
        <f t="shared" si="1"/>
        <v>300</v>
      </c>
    </row>
    <row r="10" ht="15.75" customHeight="1">
      <c r="A10" s="1" t="s">
        <v>351</v>
      </c>
      <c r="B10" s="4">
        <v>6.00406545E8</v>
      </c>
      <c r="C10" s="1" t="s">
        <v>442</v>
      </c>
      <c r="D10" s="1" t="s">
        <v>443</v>
      </c>
      <c r="E10" s="1">
        <v>9.0</v>
      </c>
      <c r="F10" s="1" t="s">
        <v>42</v>
      </c>
      <c r="G10" s="4" t="s">
        <v>21</v>
      </c>
      <c r="I10" s="1" t="s">
        <v>22</v>
      </c>
      <c r="J10" s="1" t="s">
        <v>22</v>
      </c>
      <c r="K10" s="1" t="s">
        <v>22</v>
      </c>
      <c r="L10" s="1">
        <v>0.0</v>
      </c>
      <c r="M10" s="1" t="s">
        <v>22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351</v>
      </c>
      <c r="B11" s="4">
        <v>6.00407955E8</v>
      </c>
      <c r="C11" s="1" t="s">
        <v>444</v>
      </c>
      <c r="D11" s="1" t="s">
        <v>445</v>
      </c>
      <c r="E11" s="1">
        <v>8.0</v>
      </c>
      <c r="F11" s="1" t="s">
        <v>42</v>
      </c>
      <c r="G11" s="4" t="s">
        <v>21</v>
      </c>
      <c r="I11" s="1" t="s">
        <v>22</v>
      </c>
      <c r="J11" s="1" t="s">
        <v>22</v>
      </c>
      <c r="K11" s="1" t="s">
        <v>22</v>
      </c>
      <c r="L11" s="1">
        <v>0.0</v>
      </c>
      <c r="M11" s="1" t="s">
        <v>22</v>
      </c>
      <c r="O11" s="1" t="s">
        <v>22</v>
      </c>
      <c r="P11" s="1">
        <v>3.0</v>
      </c>
      <c r="Q11" s="3">
        <f t="shared" si="1"/>
        <v>300</v>
      </c>
    </row>
    <row r="12" ht="15.75" customHeight="1">
      <c r="A12" s="1" t="s">
        <v>351</v>
      </c>
      <c r="B12" s="4">
        <v>6.00410848E8</v>
      </c>
      <c r="C12" s="1" t="s">
        <v>86</v>
      </c>
      <c r="D12" s="1" t="s">
        <v>446</v>
      </c>
      <c r="E12" s="1">
        <v>9.0</v>
      </c>
      <c r="F12" s="1" t="s">
        <v>20</v>
      </c>
      <c r="G12" s="4" t="s">
        <v>21</v>
      </c>
      <c r="I12" s="1" t="s">
        <v>22</v>
      </c>
      <c r="J12" s="1" t="s">
        <v>22</v>
      </c>
      <c r="K12" s="1" t="s">
        <v>22</v>
      </c>
      <c r="L12" s="1">
        <v>0.0</v>
      </c>
      <c r="M12" s="1" t="s">
        <v>22</v>
      </c>
      <c r="N12" s="1"/>
      <c r="O12" s="1" t="s">
        <v>23</v>
      </c>
      <c r="P12" s="1">
        <v>3.0</v>
      </c>
      <c r="Q12" s="3">
        <f t="shared" si="1"/>
        <v>300</v>
      </c>
    </row>
    <row r="13" ht="15.75" customHeight="1">
      <c r="A13" s="1" t="s">
        <v>351</v>
      </c>
      <c r="B13" s="4">
        <v>6.00409207E8</v>
      </c>
      <c r="C13" s="1" t="s">
        <v>447</v>
      </c>
      <c r="D13" s="1" t="s">
        <v>448</v>
      </c>
      <c r="E13" s="1">
        <v>8.0</v>
      </c>
      <c r="F13" s="1" t="s">
        <v>55</v>
      </c>
      <c r="G13" s="4" t="s">
        <v>33</v>
      </c>
      <c r="I13" s="1" t="s">
        <v>22</v>
      </c>
      <c r="J13" s="1" t="s">
        <v>22</v>
      </c>
      <c r="K13" s="1" t="s">
        <v>22</v>
      </c>
      <c r="L13" s="1">
        <v>0.0</v>
      </c>
      <c r="M13" s="1" t="s">
        <v>22</v>
      </c>
      <c r="N13" s="1"/>
      <c r="O13" s="1" t="s">
        <v>23</v>
      </c>
      <c r="P13" s="1">
        <v>3.0</v>
      </c>
      <c r="Q13" s="3">
        <f t="shared" si="1"/>
        <v>300</v>
      </c>
    </row>
    <row r="14" ht="15.75" customHeight="1">
      <c r="A14" s="1" t="s">
        <v>351</v>
      </c>
      <c r="B14" s="4">
        <v>6.00408799E8</v>
      </c>
      <c r="C14" s="1" t="s">
        <v>449</v>
      </c>
      <c r="D14" s="1" t="s">
        <v>450</v>
      </c>
      <c r="E14" s="1">
        <v>8.0</v>
      </c>
      <c r="F14" s="1" t="s">
        <v>20</v>
      </c>
      <c r="G14" s="4" t="s">
        <v>33</v>
      </c>
      <c r="I14" s="1" t="s">
        <v>22</v>
      </c>
      <c r="J14" s="1" t="s">
        <v>22</v>
      </c>
      <c r="K14" s="1" t="s">
        <v>22</v>
      </c>
      <c r="L14" s="1">
        <v>0.0</v>
      </c>
      <c r="M14" s="1" t="s">
        <v>22</v>
      </c>
      <c r="N14" s="1"/>
      <c r="O14" s="1" t="s">
        <v>22</v>
      </c>
      <c r="P14" s="1">
        <v>3.0</v>
      </c>
      <c r="Q14" s="3">
        <f t="shared" si="1"/>
        <v>300</v>
      </c>
    </row>
    <row r="15" ht="15.75" customHeight="1">
      <c r="A15" s="1" t="s">
        <v>351</v>
      </c>
      <c r="B15" s="4">
        <v>6.00410621E8</v>
      </c>
      <c r="C15" s="1" t="s">
        <v>451</v>
      </c>
      <c r="D15" s="1" t="s">
        <v>452</v>
      </c>
      <c r="E15" s="1">
        <v>8.0</v>
      </c>
      <c r="F15" s="1" t="s">
        <v>20</v>
      </c>
      <c r="G15" s="4" t="s">
        <v>21</v>
      </c>
      <c r="I15" s="1" t="s">
        <v>22</v>
      </c>
      <c r="J15" s="1" t="s">
        <v>22</v>
      </c>
      <c r="K15" s="1" t="s">
        <v>22</v>
      </c>
      <c r="L15" s="1">
        <v>0.0</v>
      </c>
      <c r="M15" s="1" t="s">
        <v>22</v>
      </c>
      <c r="N15" s="1"/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351</v>
      </c>
      <c r="B16" s="4">
        <v>6.00408011E8</v>
      </c>
      <c r="C16" s="1" t="s">
        <v>453</v>
      </c>
      <c r="D16" s="1" t="s">
        <v>454</v>
      </c>
      <c r="E16" s="1">
        <v>9.0</v>
      </c>
      <c r="F16" s="1" t="s">
        <v>55</v>
      </c>
      <c r="G16" s="4" t="s">
        <v>33</v>
      </c>
      <c r="I16" s="1" t="s">
        <v>22</v>
      </c>
      <c r="J16" s="1" t="s">
        <v>22</v>
      </c>
      <c r="K16" s="1" t="s">
        <v>22</v>
      </c>
      <c r="L16" s="1">
        <v>0.0</v>
      </c>
      <c r="M16" s="1" t="s">
        <v>22</v>
      </c>
      <c r="N16" s="1"/>
      <c r="O16" s="1" t="s">
        <v>23</v>
      </c>
      <c r="P16" s="1">
        <v>3.0</v>
      </c>
      <c r="Q16" s="3">
        <f t="shared" si="1"/>
        <v>300</v>
      </c>
    </row>
    <row r="17" ht="15.75" customHeight="1">
      <c r="A17" s="1" t="s">
        <v>351</v>
      </c>
      <c r="B17" s="4">
        <v>6.0041187E8</v>
      </c>
      <c r="C17" s="1" t="s">
        <v>455</v>
      </c>
      <c r="D17" s="1" t="s">
        <v>456</v>
      </c>
      <c r="E17" s="1">
        <v>8.0</v>
      </c>
      <c r="F17" s="1" t="s">
        <v>20</v>
      </c>
      <c r="G17" s="4" t="s">
        <v>21</v>
      </c>
      <c r="I17" s="1" t="s">
        <v>22</v>
      </c>
      <c r="J17" s="1" t="s">
        <v>22</v>
      </c>
      <c r="K17" s="1" t="s">
        <v>22</v>
      </c>
      <c r="L17" s="1">
        <v>0.0</v>
      </c>
      <c r="M17" s="1" t="s">
        <v>22</v>
      </c>
      <c r="N17" s="1"/>
      <c r="O17" s="1" t="s">
        <v>22</v>
      </c>
      <c r="P17" s="1">
        <v>3.0</v>
      </c>
      <c r="Q17" s="3">
        <f t="shared" si="1"/>
        <v>300</v>
      </c>
    </row>
    <row r="18" ht="15.75" customHeight="1">
      <c r="A18" s="1" t="s">
        <v>351</v>
      </c>
      <c r="B18" s="4">
        <v>6.0040635E8</v>
      </c>
      <c r="C18" s="1" t="s">
        <v>203</v>
      </c>
      <c r="D18" s="1" t="s">
        <v>408</v>
      </c>
      <c r="E18" s="1">
        <v>8.0</v>
      </c>
      <c r="F18" s="1" t="s">
        <v>20</v>
      </c>
      <c r="G18" s="4" t="s">
        <v>33</v>
      </c>
      <c r="I18" s="1" t="s">
        <v>22</v>
      </c>
      <c r="J18" s="1" t="s">
        <v>22</v>
      </c>
      <c r="K18" s="1" t="s">
        <v>22</v>
      </c>
      <c r="L18" s="1">
        <v>0.0</v>
      </c>
      <c r="M18" s="1" t="s">
        <v>22</v>
      </c>
      <c r="N18" s="1"/>
      <c r="O18" s="1" t="s">
        <v>23</v>
      </c>
      <c r="P18" s="1">
        <v>3.0</v>
      </c>
      <c r="Q18" s="3">
        <f t="shared" si="1"/>
        <v>300</v>
      </c>
    </row>
    <row r="19" ht="15.75" customHeight="1">
      <c r="A19" s="1" t="s">
        <v>351</v>
      </c>
      <c r="B19" s="4">
        <v>6.00408769E8</v>
      </c>
      <c r="C19" s="1" t="s">
        <v>457</v>
      </c>
      <c r="D19" s="1" t="s">
        <v>458</v>
      </c>
      <c r="E19" s="1">
        <v>8.0</v>
      </c>
      <c r="F19" s="1" t="s">
        <v>20</v>
      </c>
      <c r="G19" s="4" t="s">
        <v>21</v>
      </c>
      <c r="I19" s="1" t="s">
        <v>22</v>
      </c>
      <c r="J19" s="1" t="s">
        <v>22</v>
      </c>
      <c r="K19" s="1" t="s">
        <v>22</v>
      </c>
      <c r="L19" s="1">
        <v>0.0</v>
      </c>
      <c r="M19" s="1" t="s">
        <v>22</v>
      </c>
      <c r="N19" s="1"/>
      <c r="O19" s="1" t="s">
        <v>22</v>
      </c>
      <c r="P19" s="1">
        <v>3.0</v>
      </c>
      <c r="Q19" s="3">
        <f t="shared" si="1"/>
        <v>300</v>
      </c>
    </row>
    <row r="20" ht="15.75" customHeight="1">
      <c r="A20" s="1" t="s">
        <v>351</v>
      </c>
      <c r="B20" s="4">
        <v>6.00408601E8</v>
      </c>
      <c r="C20" s="1" t="s">
        <v>459</v>
      </c>
      <c r="D20" s="1" t="s">
        <v>460</v>
      </c>
      <c r="E20" s="1">
        <v>9.0</v>
      </c>
      <c r="F20" s="1" t="s">
        <v>20</v>
      </c>
      <c r="G20" s="4" t="s">
        <v>21</v>
      </c>
      <c r="I20" s="1" t="s">
        <v>22</v>
      </c>
      <c r="J20" s="1" t="s">
        <v>22</v>
      </c>
      <c r="K20" s="1" t="s">
        <v>22</v>
      </c>
      <c r="L20" s="1">
        <v>0.0</v>
      </c>
      <c r="M20" s="1" t="s">
        <v>22</v>
      </c>
      <c r="N20" s="1"/>
      <c r="O20" s="1" t="s">
        <v>23</v>
      </c>
      <c r="P20" s="1">
        <v>3.0</v>
      </c>
      <c r="Q20" s="3">
        <f t="shared" si="1"/>
        <v>300</v>
      </c>
    </row>
    <row r="21" ht="15.75" customHeight="1">
      <c r="A21" s="1" t="s">
        <v>351</v>
      </c>
      <c r="B21" s="4">
        <v>6.00406453E8</v>
      </c>
      <c r="C21" s="1" t="s">
        <v>168</v>
      </c>
      <c r="D21" s="1" t="s">
        <v>224</v>
      </c>
      <c r="E21" s="1">
        <v>8.0</v>
      </c>
      <c r="F21" s="1" t="s">
        <v>20</v>
      </c>
      <c r="G21" s="4" t="s">
        <v>33</v>
      </c>
      <c r="I21" s="1" t="s">
        <v>22</v>
      </c>
      <c r="J21" s="1" t="s">
        <v>22</v>
      </c>
      <c r="K21" s="1" t="s">
        <v>22</v>
      </c>
      <c r="L21" s="1">
        <v>0.0</v>
      </c>
      <c r="M21" s="1" t="s">
        <v>22</v>
      </c>
      <c r="N21" s="1"/>
      <c r="O21" s="1" t="s">
        <v>22</v>
      </c>
      <c r="P21" s="1">
        <v>3.0</v>
      </c>
      <c r="Q21" s="3">
        <f t="shared" si="1"/>
        <v>300</v>
      </c>
    </row>
    <row r="22" ht="15.75" customHeight="1">
      <c r="A22" s="1" t="s">
        <v>351</v>
      </c>
      <c r="B22" s="4">
        <v>6.00410348E8</v>
      </c>
      <c r="C22" s="1" t="s">
        <v>461</v>
      </c>
      <c r="D22" s="1" t="s">
        <v>462</v>
      </c>
      <c r="E22" s="1">
        <v>8.0</v>
      </c>
      <c r="F22" s="1" t="s">
        <v>20</v>
      </c>
      <c r="G22" s="4" t="s">
        <v>21</v>
      </c>
      <c r="I22" s="1" t="s">
        <v>22</v>
      </c>
      <c r="J22" s="1" t="s">
        <v>22</v>
      </c>
      <c r="K22" s="1" t="s">
        <v>22</v>
      </c>
      <c r="L22" s="1">
        <v>0.0</v>
      </c>
      <c r="M22" s="1" t="s">
        <v>22</v>
      </c>
      <c r="N22" s="1"/>
      <c r="O22" s="1" t="s">
        <v>22</v>
      </c>
      <c r="P22" s="1">
        <v>3.0</v>
      </c>
      <c r="Q22" s="3">
        <f t="shared" si="1"/>
        <v>300</v>
      </c>
    </row>
    <row r="23" ht="15.75" customHeight="1">
      <c r="A23" s="1" t="s">
        <v>351</v>
      </c>
      <c r="B23" s="4">
        <v>6.00408633E8</v>
      </c>
      <c r="C23" s="1" t="s">
        <v>277</v>
      </c>
      <c r="D23" s="1" t="s">
        <v>463</v>
      </c>
      <c r="E23" s="1">
        <v>8.0</v>
      </c>
      <c r="F23" s="1" t="s">
        <v>20</v>
      </c>
      <c r="G23" s="4" t="s">
        <v>21</v>
      </c>
      <c r="I23" s="1" t="s">
        <v>22</v>
      </c>
      <c r="J23" s="1" t="s">
        <v>22</v>
      </c>
      <c r="K23" s="1" t="s">
        <v>22</v>
      </c>
      <c r="L23" s="1">
        <v>0.0</v>
      </c>
      <c r="M23" s="1" t="s">
        <v>22</v>
      </c>
      <c r="N23" s="1"/>
      <c r="O23" s="1" t="s">
        <v>23</v>
      </c>
      <c r="P23" s="1">
        <v>3.0</v>
      </c>
      <c r="Q23" s="3">
        <f t="shared" si="1"/>
        <v>300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ref="P24:P31" si="2">COUNTIF(I24:O24, "✔️")</f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2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2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2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2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2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2"/>
        <v>0</v>
      </c>
      <c r="Q31" s="3">
        <f t="shared" si="1"/>
        <v>0</v>
      </c>
    </row>
    <row r="32" ht="15.75" customHeight="1">
      <c r="I32" s="1">
        <f t="shared" ref="I32:K32" si="3">COUNTIF(I2:I31, "✔️")</f>
        <v>22</v>
      </c>
      <c r="J32" s="1">
        <f t="shared" si="3"/>
        <v>22</v>
      </c>
      <c r="K32" s="1">
        <f t="shared" si="3"/>
        <v>22</v>
      </c>
      <c r="L32" s="1"/>
      <c r="M32" s="1">
        <f>COUNTIF(M2:M31, "✔️")</f>
        <v>22</v>
      </c>
      <c r="N32" s="1"/>
      <c r="O32" s="1">
        <f>COUNTIF(O2:O31, "✔️")</f>
        <v>12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464</v>
      </c>
      <c r="B2" s="4">
        <v>6.00404981E8</v>
      </c>
      <c r="C2" s="1" t="s">
        <v>465</v>
      </c>
      <c r="D2" s="1" t="s">
        <v>466</v>
      </c>
      <c r="E2" s="1">
        <v>11.0</v>
      </c>
      <c r="F2" s="1" t="s">
        <v>20</v>
      </c>
      <c r="G2" s="4" t="s">
        <v>21</v>
      </c>
      <c r="I2" s="1" t="s">
        <v>22</v>
      </c>
      <c r="J2" s="1" t="s">
        <v>22</v>
      </c>
      <c r="K2" s="1" t="s">
        <v>22</v>
      </c>
      <c r="L2" s="1">
        <v>0.0</v>
      </c>
      <c r="M2" s="1" t="s">
        <v>23</v>
      </c>
      <c r="N2" s="1">
        <v>0.0</v>
      </c>
      <c r="O2" s="1" t="s">
        <v>22</v>
      </c>
      <c r="P2" s="1">
        <v>3.0</v>
      </c>
      <c r="Q2" s="3">
        <v>300.0</v>
      </c>
    </row>
    <row r="3" ht="15.75" customHeight="1">
      <c r="A3" s="4" t="s">
        <v>464</v>
      </c>
      <c r="B3" s="4">
        <v>6.00406729E8</v>
      </c>
      <c r="C3" s="1" t="s">
        <v>324</v>
      </c>
      <c r="D3" s="1" t="s">
        <v>467</v>
      </c>
      <c r="E3" s="1">
        <v>10.0</v>
      </c>
      <c r="F3" s="1" t="s">
        <v>55</v>
      </c>
      <c r="G3" s="4" t="s">
        <v>21</v>
      </c>
      <c r="I3" s="1" t="s">
        <v>22</v>
      </c>
      <c r="J3" s="1" t="s">
        <v>22</v>
      </c>
      <c r="K3" s="1" t="s">
        <v>22</v>
      </c>
      <c r="L3" s="1">
        <v>0.0</v>
      </c>
      <c r="M3" s="1" t="s">
        <v>22</v>
      </c>
      <c r="N3" s="1">
        <v>4.0</v>
      </c>
      <c r="O3" s="1" t="s">
        <v>23</v>
      </c>
      <c r="P3" s="1">
        <v>3.0</v>
      </c>
      <c r="Q3" s="3">
        <f t="shared" ref="Q3:Q30" si="1">IF(P3=1, 100, IF(P3=2, 200, IF(P3=3, 300, 0)))</f>
        <v>300</v>
      </c>
    </row>
    <row r="4" ht="15.75" customHeight="1">
      <c r="A4" s="4" t="s">
        <v>464</v>
      </c>
      <c r="B4" s="4">
        <v>6.00403464E8</v>
      </c>
      <c r="C4" s="1" t="s">
        <v>468</v>
      </c>
      <c r="D4" s="1" t="s">
        <v>469</v>
      </c>
      <c r="E4" s="1">
        <v>10.0</v>
      </c>
      <c r="F4" s="1" t="s">
        <v>20</v>
      </c>
      <c r="G4" s="4" t="s">
        <v>33</v>
      </c>
      <c r="I4" s="1" t="s">
        <v>22</v>
      </c>
      <c r="J4" s="1" t="s">
        <v>22</v>
      </c>
      <c r="K4" s="1" t="s">
        <v>22</v>
      </c>
      <c r="L4" s="1">
        <v>0.0</v>
      </c>
      <c r="M4" s="1" t="s">
        <v>22</v>
      </c>
      <c r="N4" s="1">
        <v>2.0</v>
      </c>
      <c r="O4" s="1" t="s">
        <v>22</v>
      </c>
      <c r="P4" s="1">
        <v>3.0</v>
      </c>
      <c r="Q4" s="3">
        <f t="shared" si="1"/>
        <v>300</v>
      </c>
    </row>
    <row r="5" ht="15.75" customHeight="1">
      <c r="A5" s="4" t="s">
        <v>464</v>
      </c>
      <c r="B5" s="4">
        <v>6.00403287E8</v>
      </c>
      <c r="C5" s="1" t="s">
        <v>187</v>
      </c>
      <c r="D5" s="1" t="s">
        <v>470</v>
      </c>
      <c r="E5" s="1">
        <v>11.0</v>
      </c>
      <c r="F5" s="1" t="s">
        <v>20</v>
      </c>
      <c r="G5" s="4" t="s">
        <v>33</v>
      </c>
      <c r="I5" s="1" t="s">
        <v>22</v>
      </c>
      <c r="J5" s="1" t="s">
        <v>22</v>
      </c>
      <c r="K5" s="1" t="s">
        <v>22</v>
      </c>
      <c r="L5" s="1">
        <v>2.0</v>
      </c>
      <c r="M5" s="1" t="s">
        <v>23</v>
      </c>
      <c r="N5" s="1">
        <v>0.0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4" t="s">
        <v>464</v>
      </c>
      <c r="B6" s="4">
        <v>6.00406303E8</v>
      </c>
      <c r="C6" s="1" t="s">
        <v>442</v>
      </c>
      <c r="D6" s="1" t="s">
        <v>401</v>
      </c>
      <c r="E6" s="1">
        <v>11.0</v>
      </c>
      <c r="F6" s="1" t="s">
        <v>20</v>
      </c>
      <c r="G6" s="4" t="s">
        <v>21</v>
      </c>
      <c r="I6" s="1" t="s">
        <v>22</v>
      </c>
      <c r="J6" s="1" t="s">
        <v>22</v>
      </c>
      <c r="K6" s="1" t="s">
        <v>22</v>
      </c>
      <c r="L6" s="1">
        <v>0.0</v>
      </c>
      <c r="M6" s="1" t="s">
        <v>22</v>
      </c>
      <c r="N6" s="1">
        <v>0.0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4" t="s">
        <v>464</v>
      </c>
      <c r="B7" s="4">
        <v>6.00403647E8</v>
      </c>
      <c r="C7" s="1" t="s">
        <v>116</v>
      </c>
      <c r="D7" s="1" t="s">
        <v>119</v>
      </c>
      <c r="E7" s="1">
        <v>10.0</v>
      </c>
      <c r="G7" s="4" t="s">
        <v>33</v>
      </c>
      <c r="I7" s="1" t="s">
        <v>22</v>
      </c>
      <c r="J7" s="1" t="s">
        <v>23</v>
      </c>
      <c r="K7" s="1" t="s">
        <v>22</v>
      </c>
      <c r="L7" s="1">
        <v>0.0</v>
      </c>
      <c r="M7" s="1" t="s">
        <v>22</v>
      </c>
      <c r="N7" s="1"/>
      <c r="O7" s="1" t="s">
        <v>23</v>
      </c>
      <c r="P7" s="1">
        <f t="shared" ref="P7:P8" si="2">COUNTIF(I7:O7, "✔️")</f>
        <v>3</v>
      </c>
      <c r="Q7" s="3">
        <f t="shared" si="1"/>
        <v>300</v>
      </c>
    </row>
    <row r="8" ht="15.75" customHeight="1">
      <c r="A8" s="4" t="s">
        <v>464</v>
      </c>
      <c r="B8" s="4">
        <v>6.00402254E8</v>
      </c>
      <c r="C8" s="1" t="s">
        <v>118</v>
      </c>
      <c r="D8" s="1" t="s">
        <v>471</v>
      </c>
      <c r="E8" s="1">
        <v>11.0</v>
      </c>
      <c r="F8" s="1" t="s">
        <v>20</v>
      </c>
      <c r="G8" s="4" t="s">
        <v>33</v>
      </c>
      <c r="I8" s="1" t="s">
        <v>22</v>
      </c>
      <c r="J8" s="1" t="s">
        <v>22</v>
      </c>
      <c r="K8" s="1" t="s">
        <v>22</v>
      </c>
      <c r="L8" s="1">
        <v>3.0</v>
      </c>
      <c r="M8" s="1" t="s">
        <v>23</v>
      </c>
      <c r="N8" s="1">
        <v>9.0</v>
      </c>
      <c r="O8" s="1" t="s">
        <v>23</v>
      </c>
      <c r="P8" s="1">
        <f t="shared" si="2"/>
        <v>3</v>
      </c>
      <c r="Q8" s="3">
        <f t="shared" si="1"/>
        <v>300</v>
      </c>
    </row>
    <row r="9" ht="15.75" customHeight="1">
      <c r="A9" s="4" t="s">
        <v>464</v>
      </c>
      <c r="B9" s="4">
        <v>6.00410639E8</v>
      </c>
      <c r="C9" s="1" t="s">
        <v>51</v>
      </c>
      <c r="D9" s="1" t="s">
        <v>472</v>
      </c>
      <c r="E9" s="1">
        <v>10.0</v>
      </c>
      <c r="F9" s="1" t="s">
        <v>20</v>
      </c>
      <c r="G9" s="4" t="s">
        <v>33</v>
      </c>
      <c r="I9" s="1" t="s">
        <v>22</v>
      </c>
      <c r="J9" s="1" t="s">
        <v>22</v>
      </c>
      <c r="K9" s="1" t="s">
        <v>22</v>
      </c>
      <c r="L9" s="1">
        <v>0.0</v>
      </c>
      <c r="M9" s="1" t="s">
        <v>22</v>
      </c>
      <c r="N9" s="1">
        <v>2.0</v>
      </c>
      <c r="O9" s="1" t="s">
        <v>22</v>
      </c>
      <c r="P9" s="1">
        <v>3.0</v>
      </c>
      <c r="Q9" s="3">
        <f t="shared" si="1"/>
        <v>300</v>
      </c>
    </row>
    <row r="10" ht="15.75" customHeight="1">
      <c r="A10" s="4" t="s">
        <v>464</v>
      </c>
      <c r="B10" s="4">
        <v>6.00405163E8</v>
      </c>
      <c r="C10" s="1" t="s">
        <v>473</v>
      </c>
      <c r="D10" s="1" t="s">
        <v>474</v>
      </c>
      <c r="E10" s="1">
        <v>10.0</v>
      </c>
      <c r="F10" s="1" t="s">
        <v>20</v>
      </c>
      <c r="G10" s="4" t="s">
        <v>21</v>
      </c>
      <c r="I10" s="1" t="s">
        <v>22</v>
      </c>
      <c r="J10" s="1" t="s">
        <v>22</v>
      </c>
      <c r="K10" s="1" t="s">
        <v>22</v>
      </c>
      <c r="L10" s="1">
        <v>0.0</v>
      </c>
      <c r="M10" s="1" t="s">
        <v>22</v>
      </c>
      <c r="N10" s="1">
        <v>3.0</v>
      </c>
      <c r="O10" s="1" t="s">
        <v>22</v>
      </c>
      <c r="P10" s="1">
        <v>3.0</v>
      </c>
      <c r="Q10" s="3">
        <f t="shared" si="1"/>
        <v>300</v>
      </c>
    </row>
    <row r="11" ht="15.75" customHeight="1">
      <c r="A11" s="4" t="s">
        <v>464</v>
      </c>
      <c r="B11" s="4">
        <v>6.0041271E8</v>
      </c>
      <c r="C11" s="1" t="s">
        <v>475</v>
      </c>
      <c r="D11" s="1" t="s">
        <v>476</v>
      </c>
      <c r="E11" s="1">
        <v>10.0</v>
      </c>
      <c r="F11" s="1" t="s">
        <v>20</v>
      </c>
      <c r="G11" s="4" t="s">
        <v>33</v>
      </c>
      <c r="I11" s="1" t="s">
        <v>22</v>
      </c>
      <c r="J11" s="1" t="s">
        <v>22</v>
      </c>
      <c r="K11" s="1" t="s">
        <v>22</v>
      </c>
      <c r="L11" s="1">
        <v>3.0</v>
      </c>
      <c r="M11" s="1" t="s">
        <v>23</v>
      </c>
      <c r="N11" s="1">
        <v>2.0</v>
      </c>
      <c r="O11" s="1" t="s">
        <v>22</v>
      </c>
      <c r="P11" s="1">
        <v>3.0</v>
      </c>
      <c r="Q11" s="3">
        <f t="shared" si="1"/>
        <v>300</v>
      </c>
    </row>
    <row r="12" ht="15.75" customHeight="1">
      <c r="A12" s="4" t="s">
        <v>464</v>
      </c>
      <c r="B12" s="4">
        <v>6.0040672E8</v>
      </c>
      <c r="C12" s="1" t="s">
        <v>477</v>
      </c>
      <c r="D12" s="1" t="s">
        <v>478</v>
      </c>
      <c r="E12" s="1">
        <v>10.0</v>
      </c>
      <c r="F12" s="1" t="s">
        <v>55</v>
      </c>
      <c r="G12" s="4" t="s">
        <v>33</v>
      </c>
      <c r="I12" s="1" t="s">
        <v>22</v>
      </c>
      <c r="J12" s="1" t="s">
        <v>22</v>
      </c>
      <c r="K12" s="1" t="s">
        <v>22</v>
      </c>
      <c r="L12" s="1">
        <v>5.0</v>
      </c>
      <c r="M12" s="1" t="s">
        <v>23</v>
      </c>
      <c r="N12" s="1">
        <v>0.0</v>
      </c>
      <c r="O12" s="1" t="s">
        <v>22</v>
      </c>
      <c r="P12" s="1">
        <v>3.0</v>
      </c>
      <c r="Q12" s="3">
        <f t="shared" si="1"/>
        <v>300</v>
      </c>
    </row>
    <row r="13" ht="15.75" customHeight="1">
      <c r="A13" s="4" t="s">
        <v>464</v>
      </c>
      <c r="B13" s="4">
        <v>6.00412926E8</v>
      </c>
      <c r="C13" s="1" t="s">
        <v>479</v>
      </c>
      <c r="D13" s="1" t="s">
        <v>480</v>
      </c>
      <c r="E13" s="1">
        <v>11.0</v>
      </c>
      <c r="F13" s="1" t="s">
        <v>42</v>
      </c>
      <c r="G13" s="4"/>
      <c r="I13" s="1" t="s">
        <v>23</v>
      </c>
      <c r="J13" s="1" t="s">
        <v>23</v>
      </c>
      <c r="K13" s="1" t="s">
        <v>22</v>
      </c>
      <c r="L13" s="1">
        <v>0.0</v>
      </c>
      <c r="M13" s="1" t="s">
        <v>22</v>
      </c>
      <c r="N13" s="1">
        <v>0.0</v>
      </c>
      <c r="O13" s="1" t="s">
        <v>22</v>
      </c>
      <c r="P13" s="1">
        <v>3.0</v>
      </c>
      <c r="Q13" s="3">
        <f t="shared" si="1"/>
        <v>300</v>
      </c>
    </row>
    <row r="14" ht="15.75" customHeight="1">
      <c r="A14" s="4" t="s">
        <v>464</v>
      </c>
      <c r="B14" s="4">
        <v>6.00406404E8</v>
      </c>
      <c r="C14" s="1" t="s">
        <v>481</v>
      </c>
      <c r="D14" s="1" t="s">
        <v>482</v>
      </c>
      <c r="E14" s="1">
        <v>10.0</v>
      </c>
      <c r="F14" s="1" t="s">
        <v>20</v>
      </c>
      <c r="G14" s="4" t="s">
        <v>33</v>
      </c>
      <c r="I14" s="1" t="s">
        <v>22</v>
      </c>
      <c r="J14" s="1" t="s">
        <v>22</v>
      </c>
      <c r="K14" s="1" t="s">
        <v>22</v>
      </c>
      <c r="L14" s="1">
        <v>0.0</v>
      </c>
      <c r="M14" s="1" t="s">
        <v>22</v>
      </c>
      <c r="N14" s="1">
        <v>0.0</v>
      </c>
      <c r="O14" s="1" t="s">
        <v>22</v>
      </c>
      <c r="P14" s="1">
        <v>3.0</v>
      </c>
      <c r="Q14" s="3">
        <f t="shared" si="1"/>
        <v>300</v>
      </c>
    </row>
    <row r="15" ht="15.75" customHeight="1">
      <c r="A15" s="4" t="s">
        <v>464</v>
      </c>
      <c r="B15" s="4">
        <v>6.00405162E8</v>
      </c>
      <c r="C15" s="1" t="s">
        <v>203</v>
      </c>
      <c r="D15" s="1" t="s">
        <v>483</v>
      </c>
      <c r="E15" s="1">
        <v>10.0</v>
      </c>
      <c r="F15" s="1" t="s">
        <v>20</v>
      </c>
      <c r="G15" s="4" t="s">
        <v>21</v>
      </c>
      <c r="I15" s="1" t="s">
        <v>22</v>
      </c>
      <c r="J15" s="1" t="s">
        <v>22</v>
      </c>
      <c r="K15" s="1" t="s">
        <v>22</v>
      </c>
      <c r="L15" s="1">
        <v>0.0</v>
      </c>
      <c r="M15" s="1" t="s">
        <v>22</v>
      </c>
      <c r="N15" s="1">
        <v>0.0</v>
      </c>
      <c r="O15" s="1" t="s">
        <v>22</v>
      </c>
      <c r="P15" s="1">
        <v>3.0</v>
      </c>
      <c r="Q15" s="3">
        <f t="shared" si="1"/>
        <v>300</v>
      </c>
    </row>
    <row r="16" ht="15.75" customHeight="1">
      <c r="A16" s="4" t="s">
        <v>464</v>
      </c>
      <c r="B16" s="4">
        <v>6.00409862E8</v>
      </c>
      <c r="C16" s="1" t="s">
        <v>459</v>
      </c>
      <c r="D16" s="1" t="s">
        <v>484</v>
      </c>
      <c r="E16" s="1">
        <v>11.0</v>
      </c>
      <c r="F16" s="1" t="s">
        <v>20</v>
      </c>
      <c r="G16" s="4" t="s">
        <v>33</v>
      </c>
      <c r="I16" s="1" t="s">
        <v>22</v>
      </c>
      <c r="J16" s="1" t="s">
        <v>22</v>
      </c>
      <c r="K16" s="1" t="s">
        <v>22</v>
      </c>
      <c r="L16" s="1">
        <v>0.0</v>
      </c>
      <c r="M16" s="1" t="s">
        <v>22</v>
      </c>
      <c r="N16" s="1">
        <v>1.0</v>
      </c>
      <c r="O16" s="1" t="s">
        <v>22</v>
      </c>
      <c r="P16" s="1">
        <v>3.0</v>
      </c>
      <c r="Q16" s="3">
        <f t="shared" si="1"/>
        <v>300</v>
      </c>
    </row>
    <row r="17" ht="15.75" customHeight="1">
      <c r="A17" s="4" t="s">
        <v>464</v>
      </c>
      <c r="B17" s="4">
        <v>6.00412747E8</v>
      </c>
      <c r="C17" s="1" t="s">
        <v>485</v>
      </c>
      <c r="D17" s="1" t="s">
        <v>486</v>
      </c>
      <c r="E17" s="1">
        <v>11.0</v>
      </c>
      <c r="F17" s="1" t="s">
        <v>20</v>
      </c>
      <c r="G17" s="4" t="s">
        <v>21</v>
      </c>
      <c r="I17" s="1" t="s">
        <v>22</v>
      </c>
      <c r="J17" s="1" t="s">
        <v>22</v>
      </c>
      <c r="K17" s="1" t="s">
        <v>22</v>
      </c>
      <c r="L17" s="1">
        <v>0.0</v>
      </c>
      <c r="M17" s="1" t="s">
        <v>22</v>
      </c>
      <c r="N17" s="1">
        <v>1.0</v>
      </c>
      <c r="O17" s="1" t="s">
        <v>22</v>
      </c>
      <c r="P17" s="1">
        <v>3.0</v>
      </c>
      <c r="Q17" s="3">
        <f t="shared" si="1"/>
        <v>300</v>
      </c>
    </row>
    <row r="18" ht="15.75" customHeight="1">
      <c r="A18" s="4" t="s">
        <v>464</v>
      </c>
      <c r="B18" s="4">
        <v>6.00405083E8</v>
      </c>
      <c r="C18" s="1" t="s">
        <v>312</v>
      </c>
      <c r="D18" s="1" t="s">
        <v>487</v>
      </c>
      <c r="E18" s="1">
        <v>10.0</v>
      </c>
      <c r="F18" s="1" t="s">
        <v>42</v>
      </c>
      <c r="G18" s="4" t="s">
        <v>33</v>
      </c>
      <c r="I18" s="1" t="s">
        <v>22</v>
      </c>
      <c r="J18" s="1" t="s">
        <v>22</v>
      </c>
      <c r="K18" s="1" t="s">
        <v>22</v>
      </c>
      <c r="L18" s="1">
        <v>1.0</v>
      </c>
      <c r="M18" s="1" t="s">
        <v>22</v>
      </c>
      <c r="N18" s="1">
        <v>4.0</v>
      </c>
      <c r="O18" s="1" t="s">
        <v>23</v>
      </c>
      <c r="P18" s="1">
        <v>3.0</v>
      </c>
      <c r="Q18" s="3">
        <f t="shared" si="1"/>
        <v>300</v>
      </c>
    </row>
    <row r="19" ht="15.75" customHeight="1">
      <c r="A19" s="4" t="s">
        <v>464</v>
      </c>
      <c r="B19" s="4">
        <v>6.00407156E8</v>
      </c>
      <c r="C19" s="1" t="s">
        <v>488</v>
      </c>
      <c r="D19" s="1" t="s">
        <v>293</v>
      </c>
      <c r="E19" s="1">
        <v>10.0</v>
      </c>
      <c r="F19" s="1" t="s">
        <v>20</v>
      </c>
      <c r="G19" s="4" t="s">
        <v>33</v>
      </c>
      <c r="I19" s="1" t="s">
        <v>22</v>
      </c>
      <c r="J19" s="1" t="s">
        <v>22</v>
      </c>
      <c r="K19" s="1" t="s">
        <v>22</v>
      </c>
      <c r="L19" s="1">
        <v>2.0</v>
      </c>
      <c r="M19" s="1" t="s">
        <v>23</v>
      </c>
      <c r="N19" s="1">
        <v>2.0</v>
      </c>
      <c r="O19" s="1" t="s">
        <v>22</v>
      </c>
      <c r="P19" s="1">
        <v>3.0</v>
      </c>
      <c r="Q19" s="3">
        <f t="shared" si="1"/>
        <v>300</v>
      </c>
    </row>
    <row r="20" ht="15.75" customHeight="1">
      <c r="A20" s="4" t="s">
        <v>464</v>
      </c>
      <c r="B20" s="4">
        <v>6.00406403E8</v>
      </c>
      <c r="C20" s="1" t="s">
        <v>60</v>
      </c>
      <c r="D20" s="1" t="s">
        <v>489</v>
      </c>
      <c r="E20" s="1">
        <v>10.0</v>
      </c>
      <c r="F20" s="1" t="s">
        <v>20</v>
      </c>
      <c r="G20" s="4" t="s">
        <v>21</v>
      </c>
      <c r="I20" s="1" t="s">
        <v>22</v>
      </c>
      <c r="J20" s="1" t="s">
        <v>22</v>
      </c>
      <c r="K20" s="1" t="s">
        <v>22</v>
      </c>
      <c r="L20" s="1">
        <v>0.0</v>
      </c>
      <c r="M20" s="1" t="s">
        <v>22</v>
      </c>
      <c r="N20" s="1">
        <v>0.0</v>
      </c>
      <c r="O20" s="1" t="s">
        <v>22</v>
      </c>
      <c r="P20" s="1">
        <v>3.0</v>
      </c>
      <c r="Q20" s="3">
        <f t="shared" si="1"/>
        <v>300</v>
      </c>
    </row>
    <row r="21" ht="15.75" customHeight="1">
      <c r="A21" s="4" t="s">
        <v>464</v>
      </c>
      <c r="B21" s="4">
        <v>6.00403765E8</v>
      </c>
      <c r="C21" s="1" t="s">
        <v>131</v>
      </c>
      <c r="D21" s="1" t="s">
        <v>490</v>
      </c>
      <c r="E21" s="1">
        <v>10.0</v>
      </c>
      <c r="F21" s="1" t="s">
        <v>20</v>
      </c>
      <c r="G21" s="4" t="s">
        <v>21</v>
      </c>
      <c r="I21" s="1" t="s">
        <v>22</v>
      </c>
      <c r="J21" s="1" t="s">
        <v>22</v>
      </c>
      <c r="K21" s="1" t="s">
        <v>22</v>
      </c>
      <c r="L21" s="1">
        <v>0.0</v>
      </c>
      <c r="M21" s="1" t="s">
        <v>22</v>
      </c>
      <c r="N21" s="1">
        <v>5.0</v>
      </c>
      <c r="O21" s="1" t="s">
        <v>23</v>
      </c>
      <c r="P21" s="1">
        <v>3.0</v>
      </c>
      <c r="Q21" s="3">
        <f t="shared" si="1"/>
        <v>300</v>
      </c>
    </row>
    <row r="22" ht="15.75" customHeight="1">
      <c r="A22" s="4" t="s">
        <v>464</v>
      </c>
      <c r="B22" s="4">
        <v>6.00408634E8</v>
      </c>
      <c r="C22" s="1" t="s">
        <v>277</v>
      </c>
      <c r="D22" s="1" t="s">
        <v>426</v>
      </c>
      <c r="E22" s="1">
        <v>10.0</v>
      </c>
      <c r="F22" s="1" t="s">
        <v>20</v>
      </c>
      <c r="G22" s="4" t="s">
        <v>33</v>
      </c>
      <c r="I22" s="1" t="s">
        <v>22</v>
      </c>
      <c r="J22" s="1" t="s">
        <v>22</v>
      </c>
      <c r="K22" s="1" t="s">
        <v>22</v>
      </c>
      <c r="L22" s="1">
        <v>0.0</v>
      </c>
      <c r="M22" s="1" t="s">
        <v>22</v>
      </c>
      <c r="N22" s="1">
        <v>7.0</v>
      </c>
      <c r="O22" s="1" t="s">
        <v>23</v>
      </c>
      <c r="P22" s="1">
        <v>3.0</v>
      </c>
      <c r="Q22" s="3">
        <f t="shared" si="1"/>
        <v>300</v>
      </c>
    </row>
    <row r="23" ht="15.75" customHeight="1">
      <c r="A23" s="4" t="s">
        <v>464</v>
      </c>
      <c r="B23" s="4">
        <v>6.00406818E8</v>
      </c>
      <c r="C23" s="1" t="s">
        <v>430</v>
      </c>
      <c r="D23" s="1" t="s">
        <v>491</v>
      </c>
      <c r="E23" s="1">
        <v>9.0</v>
      </c>
      <c r="F23" s="1" t="s">
        <v>20</v>
      </c>
      <c r="G23" s="4" t="s">
        <v>33</v>
      </c>
      <c r="I23" s="1" t="s">
        <v>22</v>
      </c>
      <c r="J23" s="1" t="s">
        <v>22</v>
      </c>
      <c r="K23" s="1" t="s">
        <v>22</v>
      </c>
      <c r="L23" s="1">
        <v>0.0</v>
      </c>
      <c r="M23" s="1" t="s">
        <v>22</v>
      </c>
      <c r="N23" s="1">
        <v>5.0</v>
      </c>
      <c r="O23" s="1" t="s">
        <v>23</v>
      </c>
      <c r="P23" s="1">
        <v>3.0</v>
      </c>
      <c r="Q23" s="3">
        <f t="shared" si="1"/>
        <v>300</v>
      </c>
    </row>
    <row r="24" ht="15.75" customHeight="1">
      <c r="A24" s="4" t="s">
        <v>464</v>
      </c>
      <c r="I24" s="1"/>
      <c r="J24" s="1"/>
      <c r="K24" s="1"/>
      <c r="L24" s="1"/>
      <c r="M24" s="1"/>
      <c r="N24" s="1"/>
      <c r="O24" s="1"/>
      <c r="P24" s="1">
        <f t="shared" ref="P24:P30" si="3">COUNTIF(I24:O24, "✔️")</f>
        <v>0</v>
      </c>
      <c r="Q24" s="3">
        <f t="shared" si="1"/>
        <v>0</v>
      </c>
    </row>
    <row r="25" ht="15.75" customHeight="1">
      <c r="A25" s="1" t="s">
        <v>464</v>
      </c>
      <c r="I25" s="1"/>
      <c r="J25" s="1"/>
      <c r="K25" s="1"/>
      <c r="L25" s="1"/>
      <c r="M25" s="1"/>
      <c r="N25" s="1"/>
      <c r="O25" s="1"/>
      <c r="P25" s="1">
        <f t="shared" si="3"/>
        <v>0</v>
      </c>
      <c r="Q25" s="3">
        <f t="shared" si="1"/>
        <v>0</v>
      </c>
    </row>
    <row r="26" ht="15.75" customHeight="1">
      <c r="A26" s="4" t="s">
        <v>464</v>
      </c>
      <c r="I26" s="1"/>
      <c r="J26" s="1"/>
      <c r="K26" s="1"/>
      <c r="L26" s="1"/>
      <c r="M26" s="1"/>
      <c r="N26" s="1"/>
      <c r="O26" s="1"/>
      <c r="P26" s="1">
        <f t="shared" si="3"/>
        <v>0</v>
      </c>
      <c r="Q26" s="3">
        <f t="shared" si="1"/>
        <v>0</v>
      </c>
    </row>
    <row r="27" ht="15.75" customHeight="1">
      <c r="A27" s="1" t="s">
        <v>464</v>
      </c>
      <c r="I27" s="1"/>
      <c r="J27" s="1"/>
      <c r="K27" s="1"/>
      <c r="L27" s="1"/>
      <c r="M27" s="1"/>
      <c r="N27" s="1"/>
      <c r="O27" s="1"/>
      <c r="P27" s="1">
        <f t="shared" si="3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3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3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3"/>
        <v>0</v>
      </c>
      <c r="Q30" s="3">
        <f t="shared" si="1"/>
        <v>0</v>
      </c>
    </row>
    <row r="31" ht="15.75" customHeight="1">
      <c r="I31" s="1">
        <f t="shared" ref="I31:K31" si="4">COUNTIF(I2:I30, "✔️")</f>
        <v>21</v>
      </c>
      <c r="J31" s="1">
        <f t="shared" si="4"/>
        <v>20</v>
      </c>
      <c r="K31" s="1">
        <f t="shared" si="4"/>
        <v>22</v>
      </c>
      <c r="L31" s="1"/>
      <c r="M31" s="1">
        <f>COUNTIF(M2:M30, "✔️")</f>
        <v>16</v>
      </c>
      <c r="N31" s="1"/>
      <c r="O31" s="1">
        <f>COUNTIF(O2:O30, "✔️")</f>
        <v>15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0">
    <cfRule type="notContainsBlanks" dxfId="0" priority="1">
      <formula>LEN(TRIM(I2))&gt;0</formula>
    </cfRule>
  </conditionalFormatting>
  <conditionalFormatting sqref="Q2:Q30">
    <cfRule type="notContainsBlanks" dxfId="0" priority="2">
      <formula>LEN(TRIM(Q2))&gt;0</formula>
    </cfRule>
  </conditionalFormatting>
  <dataValidations>
    <dataValidation type="list" allowBlank="1" showErrorMessage="1" sqref="I2:K30 M2:M30 O2:O30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464</v>
      </c>
      <c r="B2" s="4">
        <v>6.00411584E8</v>
      </c>
      <c r="C2" s="1" t="s">
        <v>136</v>
      </c>
      <c r="D2" s="1" t="s">
        <v>492</v>
      </c>
      <c r="E2" s="1">
        <v>11.0</v>
      </c>
      <c r="F2" s="1" t="s">
        <v>20</v>
      </c>
      <c r="G2" s="4" t="s">
        <v>21</v>
      </c>
      <c r="I2" s="1" t="s">
        <v>22</v>
      </c>
      <c r="J2" s="1" t="s">
        <v>22</v>
      </c>
      <c r="K2" s="1" t="s">
        <v>22</v>
      </c>
      <c r="L2" s="1">
        <v>0.0</v>
      </c>
      <c r="M2" s="1" t="s">
        <v>22</v>
      </c>
      <c r="N2" s="1">
        <v>9.0</v>
      </c>
      <c r="O2" s="1" t="s">
        <v>23</v>
      </c>
      <c r="P2" s="1">
        <v>3.0</v>
      </c>
      <c r="Q2" s="3">
        <f t="shared" ref="Q2:Q31" si="1">IF(P2=1, 100, IF(P2=2, 200, IF(P2=3, 300, 0)))</f>
        <v>300</v>
      </c>
    </row>
    <row r="3" ht="15.75" customHeight="1">
      <c r="A3" s="4" t="s">
        <v>464</v>
      </c>
      <c r="B3" s="4">
        <v>6.00406689E8</v>
      </c>
      <c r="C3" s="1" t="s">
        <v>279</v>
      </c>
      <c r="D3" s="1" t="s">
        <v>493</v>
      </c>
      <c r="E3" s="1">
        <v>11.0</v>
      </c>
      <c r="F3" s="1" t="s">
        <v>20</v>
      </c>
      <c r="G3" s="4" t="s">
        <v>33</v>
      </c>
      <c r="I3" s="1" t="s">
        <v>22</v>
      </c>
      <c r="J3" s="1" t="s">
        <v>22</v>
      </c>
      <c r="K3" s="1" t="s">
        <v>22</v>
      </c>
      <c r="L3" s="1">
        <v>0.0</v>
      </c>
      <c r="M3" s="1" t="s">
        <v>22</v>
      </c>
      <c r="N3" s="1">
        <v>9.0</v>
      </c>
      <c r="O3" s="1" t="s">
        <v>23</v>
      </c>
      <c r="P3" s="1">
        <v>3.0</v>
      </c>
      <c r="Q3" s="3">
        <f t="shared" si="1"/>
        <v>300</v>
      </c>
    </row>
    <row r="4" ht="15.75" customHeight="1">
      <c r="A4" s="4" t="s">
        <v>464</v>
      </c>
      <c r="B4" s="4">
        <v>6.00408396E8</v>
      </c>
      <c r="C4" s="1" t="s">
        <v>105</v>
      </c>
      <c r="D4" s="1" t="s">
        <v>494</v>
      </c>
      <c r="E4" s="1">
        <v>10.0</v>
      </c>
      <c r="F4" s="1" t="s">
        <v>20</v>
      </c>
      <c r="G4" s="4" t="s">
        <v>21</v>
      </c>
      <c r="I4" s="1" t="s">
        <v>22</v>
      </c>
      <c r="J4" s="1" t="s">
        <v>22</v>
      </c>
      <c r="K4" s="1" t="s">
        <v>22</v>
      </c>
      <c r="L4" s="1">
        <v>0.0</v>
      </c>
      <c r="M4" s="1" t="s">
        <v>22</v>
      </c>
      <c r="N4" s="1">
        <v>3.0</v>
      </c>
      <c r="O4" s="1" t="s">
        <v>22</v>
      </c>
      <c r="P4" s="1">
        <v>3.0</v>
      </c>
      <c r="Q4" s="3">
        <f t="shared" si="1"/>
        <v>300</v>
      </c>
    </row>
    <row r="5" ht="15.75" customHeight="1">
      <c r="A5" s="4" t="s">
        <v>464</v>
      </c>
      <c r="B5" s="4">
        <v>6.00405218E8</v>
      </c>
      <c r="C5" s="1" t="s">
        <v>495</v>
      </c>
      <c r="D5" s="1" t="s">
        <v>496</v>
      </c>
      <c r="E5" s="1">
        <v>10.0</v>
      </c>
      <c r="F5" s="1" t="s">
        <v>20</v>
      </c>
      <c r="G5" s="4" t="s">
        <v>33</v>
      </c>
      <c r="I5" s="1" t="s">
        <v>22</v>
      </c>
      <c r="J5" s="1" t="s">
        <v>22</v>
      </c>
      <c r="K5" s="1" t="s">
        <v>22</v>
      </c>
      <c r="L5" s="1">
        <v>0.0</v>
      </c>
      <c r="M5" s="1" t="s">
        <v>22</v>
      </c>
      <c r="N5" s="1">
        <v>7.0</v>
      </c>
      <c r="O5" s="1" t="s">
        <v>23</v>
      </c>
      <c r="P5" s="1">
        <v>3.0</v>
      </c>
      <c r="Q5" s="3">
        <f t="shared" si="1"/>
        <v>300</v>
      </c>
    </row>
    <row r="6" ht="15.75" customHeight="1">
      <c r="A6" s="4" t="s">
        <v>464</v>
      </c>
      <c r="B6" s="4">
        <v>6.00412816E8</v>
      </c>
      <c r="C6" s="1" t="s">
        <v>497</v>
      </c>
      <c r="D6" s="1" t="s">
        <v>498</v>
      </c>
      <c r="E6" s="1">
        <v>10.0</v>
      </c>
      <c r="F6" s="1" t="s">
        <v>20</v>
      </c>
      <c r="G6" s="4" t="s">
        <v>33</v>
      </c>
      <c r="I6" s="1" t="s">
        <v>22</v>
      </c>
      <c r="J6" s="1" t="s">
        <v>22</v>
      </c>
      <c r="K6" s="1" t="s">
        <v>22</v>
      </c>
      <c r="L6" s="1">
        <v>0.0</v>
      </c>
      <c r="M6" s="1" t="s">
        <v>22</v>
      </c>
      <c r="N6" s="1">
        <v>12.0</v>
      </c>
      <c r="O6" s="1" t="s">
        <v>23</v>
      </c>
      <c r="P6" s="1">
        <v>3.0</v>
      </c>
      <c r="Q6" s="3">
        <f t="shared" si="1"/>
        <v>300</v>
      </c>
    </row>
    <row r="7" ht="15.75" customHeight="1">
      <c r="A7" s="4" t="s">
        <v>464</v>
      </c>
      <c r="B7" s="4">
        <v>6.00405711E8</v>
      </c>
      <c r="C7" s="1" t="s">
        <v>499</v>
      </c>
      <c r="D7" s="1" t="s">
        <v>500</v>
      </c>
      <c r="E7" s="1">
        <v>11.0</v>
      </c>
      <c r="F7" s="1" t="s">
        <v>20</v>
      </c>
      <c r="G7" s="4" t="s">
        <v>21</v>
      </c>
      <c r="I7" s="1" t="s">
        <v>22</v>
      </c>
      <c r="J7" s="1" t="s">
        <v>22</v>
      </c>
      <c r="K7" s="1" t="s">
        <v>22</v>
      </c>
      <c r="L7" s="1">
        <v>1.0</v>
      </c>
      <c r="M7" s="1" t="s">
        <v>22</v>
      </c>
      <c r="N7" s="1">
        <v>4.0</v>
      </c>
      <c r="O7" s="1" t="s">
        <v>23</v>
      </c>
      <c r="P7" s="1">
        <v>3.0</v>
      </c>
      <c r="Q7" s="3">
        <f t="shared" si="1"/>
        <v>300</v>
      </c>
    </row>
    <row r="8" ht="15.75" customHeight="1">
      <c r="A8" s="4" t="s">
        <v>464</v>
      </c>
      <c r="B8" s="4">
        <v>6.00412302E8</v>
      </c>
      <c r="C8" s="1" t="s">
        <v>501</v>
      </c>
      <c r="D8" s="1" t="s">
        <v>502</v>
      </c>
      <c r="E8" s="1">
        <v>11.0</v>
      </c>
      <c r="F8" s="1" t="s">
        <v>20</v>
      </c>
      <c r="G8" s="4" t="s">
        <v>21</v>
      </c>
      <c r="I8" s="1" t="s">
        <v>22</v>
      </c>
      <c r="J8" s="1" t="s">
        <v>22</v>
      </c>
      <c r="K8" s="1" t="s">
        <v>22</v>
      </c>
      <c r="L8" s="1">
        <v>0.0</v>
      </c>
      <c r="M8" s="1" t="s">
        <v>23</v>
      </c>
      <c r="N8" s="1">
        <v>5.0</v>
      </c>
      <c r="O8" s="1" t="s">
        <v>23</v>
      </c>
      <c r="P8" s="1">
        <v>3.0</v>
      </c>
      <c r="Q8" s="3">
        <f t="shared" si="1"/>
        <v>300</v>
      </c>
    </row>
    <row r="9" ht="15.75" customHeight="1">
      <c r="A9" s="4" t="s">
        <v>464</v>
      </c>
      <c r="B9" s="4">
        <v>6.00410733E8</v>
      </c>
      <c r="C9" s="1" t="s">
        <v>410</v>
      </c>
      <c r="D9" s="1" t="s">
        <v>503</v>
      </c>
      <c r="E9" s="1">
        <v>10.0</v>
      </c>
      <c r="F9" s="1" t="s">
        <v>20</v>
      </c>
      <c r="G9" s="4" t="s">
        <v>33</v>
      </c>
      <c r="I9" s="1" t="s">
        <v>22</v>
      </c>
      <c r="J9" s="1" t="s">
        <v>22</v>
      </c>
      <c r="K9" s="1" t="s">
        <v>22</v>
      </c>
      <c r="L9" s="1">
        <v>0.0</v>
      </c>
      <c r="M9" s="1" t="s">
        <v>22</v>
      </c>
      <c r="N9" s="1">
        <v>3.0</v>
      </c>
      <c r="O9" s="1" t="s">
        <v>22</v>
      </c>
      <c r="P9" s="1">
        <v>3.0</v>
      </c>
      <c r="Q9" s="3">
        <f t="shared" si="1"/>
        <v>300</v>
      </c>
    </row>
    <row r="10" ht="15.75" customHeight="1">
      <c r="A10" s="4" t="s">
        <v>464</v>
      </c>
      <c r="B10" s="4">
        <v>6.00412634E8</v>
      </c>
      <c r="C10" s="1" t="s">
        <v>504</v>
      </c>
      <c r="D10" s="1" t="s">
        <v>87</v>
      </c>
      <c r="E10" s="1">
        <v>11.0</v>
      </c>
      <c r="F10" s="1" t="s">
        <v>20</v>
      </c>
      <c r="G10" s="4" t="s">
        <v>21</v>
      </c>
      <c r="I10" s="1" t="s">
        <v>22</v>
      </c>
      <c r="J10" s="1" t="s">
        <v>22</v>
      </c>
      <c r="K10" s="1" t="s">
        <v>22</v>
      </c>
      <c r="L10" s="1">
        <v>0.0</v>
      </c>
      <c r="M10" s="1" t="s">
        <v>22</v>
      </c>
      <c r="N10" s="1">
        <v>3.0</v>
      </c>
      <c r="O10" s="1" t="s">
        <v>22</v>
      </c>
      <c r="P10" s="1">
        <v>3.0</v>
      </c>
      <c r="Q10" s="3">
        <f t="shared" si="1"/>
        <v>300</v>
      </c>
    </row>
    <row r="11" ht="15.75" customHeight="1">
      <c r="A11" s="4" t="s">
        <v>464</v>
      </c>
      <c r="B11" s="4">
        <v>6.00410455E8</v>
      </c>
      <c r="C11" s="1" t="s">
        <v>413</v>
      </c>
      <c r="D11" s="1" t="s">
        <v>505</v>
      </c>
      <c r="E11" s="1">
        <v>11.0</v>
      </c>
      <c r="F11" s="1" t="s">
        <v>55</v>
      </c>
      <c r="G11" s="4" t="s">
        <v>33</v>
      </c>
      <c r="I11" s="1" t="s">
        <v>22</v>
      </c>
      <c r="J11" s="1" t="s">
        <v>22</v>
      </c>
      <c r="K11" s="1" t="s">
        <v>22</v>
      </c>
      <c r="L11" s="1">
        <v>0.0</v>
      </c>
      <c r="M11" s="1" t="s">
        <v>22</v>
      </c>
      <c r="N11" s="1">
        <v>8.0</v>
      </c>
      <c r="O11" s="1" t="s">
        <v>23</v>
      </c>
      <c r="P11" s="1">
        <v>3.0</v>
      </c>
      <c r="Q11" s="3">
        <f t="shared" si="1"/>
        <v>300</v>
      </c>
    </row>
    <row r="12" ht="15.75" customHeight="1">
      <c r="A12" s="4" t="s">
        <v>464</v>
      </c>
      <c r="B12" s="4">
        <v>6.00405958E8</v>
      </c>
      <c r="C12" s="1" t="s">
        <v>391</v>
      </c>
      <c r="D12" s="1" t="s">
        <v>506</v>
      </c>
      <c r="E12" s="1">
        <v>10.0</v>
      </c>
      <c r="F12" s="1" t="s">
        <v>42</v>
      </c>
      <c r="G12" s="4" t="s">
        <v>21</v>
      </c>
      <c r="I12" s="1" t="s">
        <v>22</v>
      </c>
      <c r="J12" s="1" t="s">
        <v>22</v>
      </c>
      <c r="K12" s="1" t="s">
        <v>22</v>
      </c>
      <c r="L12" s="1">
        <v>1.0</v>
      </c>
      <c r="M12" s="1" t="s">
        <v>22</v>
      </c>
      <c r="N12" s="1">
        <v>13.0</v>
      </c>
      <c r="O12" s="1" t="s">
        <v>23</v>
      </c>
      <c r="P12" s="1">
        <v>3.0</v>
      </c>
      <c r="Q12" s="3">
        <f t="shared" si="1"/>
        <v>300</v>
      </c>
    </row>
    <row r="13" ht="15.75" customHeight="1">
      <c r="A13" s="4" t="s">
        <v>464</v>
      </c>
      <c r="B13" s="4">
        <v>6.0040572E8</v>
      </c>
      <c r="C13" s="1" t="s">
        <v>113</v>
      </c>
      <c r="D13" s="1" t="s">
        <v>321</v>
      </c>
      <c r="E13" s="1">
        <v>10.0</v>
      </c>
      <c r="F13" s="1" t="s">
        <v>20</v>
      </c>
      <c r="G13" s="4" t="s">
        <v>33</v>
      </c>
      <c r="I13" s="1" t="s">
        <v>22</v>
      </c>
      <c r="J13" s="1" t="s">
        <v>22</v>
      </c>
      <c r="K13" s="1" t="s">
        <v>22</v>
      </c>
      <c r="L13" s="1">
        <v>0.0</v>
      </c>
      <c r="M13" s="1" t="s">
        <v>22</v>
      </c>
      <c r="N13" s="1">
        <v>13.0</v>
      </c>
      <c r="O13" s="1" t="s">
        <v>23</v>
      </c>
      <c r="P13" s="1">
        <v>3.0</v>
      </c>
      <c r="Q13" s="3">
        <f t="shared" si="1"/>
        <v>300</v>
      </c>
    </row>
    <row r="14" ht="15.75" customHeight="1">
      <c r="A14" s="4" t="s">
        <v>464</v>
      </c>
      <c r="B14" s="4">
        <v>6.00410745E8</v>
      </c>
      <c r="C14" s="1" t="s">
        <v>507</v>
      </c>
      <c r="D14" s="1" t="s">
        <v>508</v>
      </c>
      <c r="E14" s="1">
        <v>10.0</v>
      </c>
      <c r="F14" s="1" t="s">
        <v>55</v>
      </c>
      <c r="G14" s="4" t="s">
        <v>21</v>
      </c>
      <c r="I14" s="1" t="s">
        <v>22</v>
      </c>
      <c r="J14" s="1" t="s">
        <v>22</v>
      </c>
      <c r="K14" s="1" t="s">
        <v>22</v>
      </c>
      <c r="L14" s="1">
        <v>0.0</v>
      </c>
      <c r="M14" s="1" t="s">
        <v>22</v>
      </c>
      <c r="N14" s="1">
        <v>18.0</v>
      </c>
      <c r="O14" s="1" t="s">
        <v>23</v>
      </c>
      <c r="P14" s="1">
        <v>3.0</v>
      </c>
      <c r="Q14" s="3">
        <f t="shared" si="1"/>
        <v>300</v>
      </c>
    </row>
    <row r="15" ht="15.75" customHeight="1">
      <c r="A15" s="4" t="s">
        <v>464</v>
      </c>
      <c r="B15" s="4">
        <v>6.00406503E8</v>
      </c>
      <c r="C15" s="1" t="s">
        <v>88</v>
      </c>
      <c r="D15" s="1" t="s">
        <v>271</v>
      </c>
      <c r="E15" s="1">
        <v>10.0</v>
      </c>
      <c r="F15" s="1" t="s">
        <v>42</v>
      </c>
      <c r="G15" s="4" t="s">
        <v>33</v>
      </c>
      <c r="I15" s="1" t="s">
        <v>22</v>
      </c>
      <c r="J15" s="1" t="s">
        <v>22</v>
      </c>
      <c r="K15" s="1" t="s">
        <v>22</v>
      </c>
      <c r="L15" s="1">
        <v>0.0</v>
      </c>
      <c r="M15" s="1" t="s">
        <v>22</v>
      </c>
      <c r="N15" s="1">
        <v>0.0</v>
      </c>
      <c r="O15" s="1" t="s">
        <v>22</v>
      </c>
      <c r="P15" s="1">
        <v>3.0</v>
      </c>
      <c r="Q15" s="3">
        <f t="shared" si="1"/>
        <v>300</v>
      </c>
    </row>
    <row r="16" ht="15.75" customHeight="1">
      <c r="A16" s="4" t="s">
        <v>464</v>
      </c>
      <c r="B16" s="4">
        <v>6.00412559E8</v>
      </c>
      <c r="C16" s="1" t="s">
        <v>509</v>
      </c>
      <c r="D16" s="1" t="s">
        <v>510</v>
      </c>
      <c r="E16" s="1">
        <v>11.0</v>
      </c>
      <c r="F16" s="1" t="s">
        <v>20</v>
      </c>
      <c r="G16" s="4" t="s">
        <v>33</v>
      </c>
      <c r="I16" s="1" t="s">
        <v>22</v>
      </c>
      <c r="J16" s="1" t="s">
        <v>22</v>
      </c>
      <c r="K16" s="1" t="s">
        <v>22</v>
      </c>
      <c r="L16" s="1">
        <v>0.0</v>
      </c>
      <c r="M16" s="1" t="s">
        <v>22</v>
      </c>
      <c r="N16" s="1">
        <v>8.0</v>
      </c>
      <c r="O16" s="1" t="s">
        <v>23</v>
      </c>
      <c r="P16" s="1">
        <v>3.0</v>
      </c>
      <c r="Q16" s="3">
        <f t="shared" si="1"/>
        <v>300</v>
      </c>
    </row>
    <row r="17" ht="15.75" customHeight="1">
      <c r="A17" s="4" t="s">
        <v>464</v>
      </c>
      <c r="B17" s="4">
        <v>6.00405159E8</v>
      </c>
      <c r="C17" s="1" t="s">
        <v>231</v>
      </c>
      <c r="D17" s="1" t="s">
        <v>493</v>
      </c>
      <c r="E17" s="1">
        <v>10.0</v>
      </c>
      <c r="F17" s="1" t="s">
        <v>20</v>
      </c>
      <c r="G17" s="4" t="s">
        <v>33</v>
      </c>
      <c r="I17" s="1" t="s">
        <v>22</v>
      </c>
      <c r="J17" s="1" t="s">
        <v>22</v>
      </c>
      <c r="K17" s="1" t="s">
        <v>22</v>
      </c>
      <c r="L17" s="1">
        <v>0.0</v>
      </c>
      <c r="M17" s="1" t="s">
        <v>22</v>
      </c>
      <c r="N17" s="1">
        <v>6.0</v>
      </c>
      <c r="O17" s="1" t="s">
        <v>23</v>
      </c>
      <c r="P17" s="1">
        <v>3.0</v>
      </c>
      <c r="Q17" s="3">
        <f t="shared" si="1"/>
        <v>300</v>
      </c>
    </row>
    <row r="18" ht="15.75" customHeight="1">
      <c r="A18" s="4" t="s">
        <v>464</v>
      </c>
      <c r="B18" s="4">
        <v>6.00405076E8</v>
      </c>
      <c r="C18" s="1" t="s">
        <v>511</v>
      </c>
      <c r="D18" s="1" t="s">
        <v>512</v>
      </c>
      <c r="E18" s="1">
        <v>10.0</v>
      </c>
      <c r="F18" s="1" t="s">
        <v>20</v>
      </c>
      <c r="G18" s="4" t="s">
        <v>33</v>
      </c>
      <c r="I18" s="1" t="s">
        <v>22</v>
      </c>
      <c r="J18" s="1" t="s">
        <v>22</v>
      </c>
      <c r="K18" s="1" t="s">
        <v>22</v>
      </c>
      <c r="L18" s="1">
        <v>0.0</v>
      </c>
      <c r="M18" s="1" t="s">
        <v>22</v>
      </c>
      <c r="N18" s="1">
        <v>2.0</v>
      </c>
      <c r="O18" s="1" t="s">
        <v>22</v>
      </c>
      <c r="P18" s="1">
        <v>3.0</v>
      </c>
      <c r="Q18" s="3">
        <f t="shared" si="1"/>
        <v>300</v>
      </c>
    </row>
    <row r="19" ht="15.75" customHeight="1">
      <c r="A19" s="4" t="s">
        <v>464</v>
      </c>
      <c r="B19" s="4">
        <v>6.0041152E8</v>
      </c>
      <c r="C19" s="1" t="s">
        <v>91</v>
      </c>
      <c r="D19" s="1" t="s">
        <v>513</v>
      </c>
      <c r="E19" s="1">
        <v>10.0</v>
      </c>
      <c r="F19" s="1" t="s">
        <v>20</v>
      </c>
      <c r="G19" s="4" t="s">
        <v>33</v>
      </c>
      <c r="I19" s="1" t="s">
        <v>22</v>
      </c>
      <c r="J19" s="1" t="s">
        <v>22</v>
      </c>
      <c r="K19" s="1" t="s">
        <v>22</v>
      </c>
      <c r="L19" s="1">
        <v>0.0</v>
      </c>
      <c r="M19" s="1" t="s">
        <v>22</v>
      </c>
      <c r="N19" s="1">
        <v>3.0</v>
      </c>
      <c r="O19" s="1" t="s">
        <v>22</v>
      </c>
      <c r="P19" s="1">
        <v>3.0</v>
      </c>
      <c r="Q19" s="3">
        <f t="shared" si="1"/>
        <v>300</v>
      </c>
    </row>
    <row r="20" ht="15.75" customHeight="1">
      <c r="A20" s="4" t="s">
        <v>464</v>
      </c>
      <c r="B20" s="4">
        <v>6.0040392E8</v>
      </c>
      <c r="C20" s="1" t="s">
        <v>203</v>
      </c>
      <c r="D20" s="1" t="s">
        <v>514</v>
      </c>
      <c r="E20" s="1">
        <v>11.0</v>
      </c>
      <c r="F20" s="1" t="s">
        <v>20</v>
      </c>
      <c r="G20" s="4" t="s">
        <v>21</v>
      </c>
      <c r="I20" s="1" t="s">
        <v>22</v>
      </c>
      <c r="J20" s="1" t="s">
        <v>22</v>
      </c>
      <c r="K20" s="1" t="s">
        <v>22</v>
      </c>
      <c r="L20" s="1">
        <v>0.0</v>
      </c>
      <c r="M20" s="1" t="s">
        <v>22</v>
      </c>
      <c r="N20" s="1">
        <v>0.0</v>
      </c>
      <c r="O20" s="1" t="s">
        <v>22</v>
      </c>
      <c r="P20" s="1">
        <v>3.0</v>
      </c>
      <c r="Q20" s="3">
        <f t="shared" si="1"/>
        <v>300</v>
      </c>
    </row>
    <row r="21" ht="15.75" customHeight="1">
      <c r="A21" s="4" t="s">
        <v>464</v>
      </c>
      <c r="B21" s="4">
        <v>6.00405055E8</v>
      </c>
      <c r="C21" s="1" t="s">
        <v>203</v>
      </c>
      <c r="D21" s="1" t="s">
        <v>515</v>
      </c>
      <c r="E21" s="1">
        <v>10.0</v>
      </c>
      <c r="F21" s="1" t="s">
        <v>20</v>
      </c>
      <c r="G21" s="4" t="s">
        <v>33</v>
      </c>
      <c r="I21" s="1" t="s">
        <v>22</v>
      </c>
      <c r="J21" s="1" t="s">
        <v>22</v>
      </c>
      <c r="K21" s="1" t="s">
        <v>22</v>
      </c>
      <c r="L21" s="1">
        <v>1.0</v>
      </c>
      <c r="M21" s="1" t="s">
        <v>23</v>
      </c>
      <c r="N21" s="1">
        <v>15.0</v>
      </c>
      <c r="O21" s="1" t="s">
        <v>23</v>
      </c>
      <c r="P21" s="1">
        <v>3.0</v>
      </c>
      <c r="Q21" s="3">
        <f t="shared" si="1"/>
        <v>300</v>
      </c>
    </row>
    <row r="22" ht="15.75" customHeight="1">
      <c r="A22" s="4" t="s">
        <v>464</v>
      </c>
      <c r="B22" s="4">
        <v>6.00412699E8</v>
      </c>
      <c r="C22" s="1"/>
      <c r="D22" s="1" t="s">
        <v>516</v>
      </c>
      <c r="E22" s="1">
        <v>11.0</v>
      </c>
      <c r="F22" s="1" t="s">
        <v>20</v>
      </c>
      <c r="G22" s="4" t="s">
        <v>33</v>
      </c>
      <c r="I22" s="1" t="s">
        <v>22</v>
      </c>
      <c r="J22" s="1" t="s">
        <v>22</v>
      </c>
      <c r="K22" s="1" t="s">
        <v>22</v>
      </c>
      <c r="L22" s="1">
        <v>2.0</v>
      </c>
      <c r="M22" s="1" t="s">
        <v>22</v>
      </c>
      <c r="N22" s="1">
        <v>6.0</v>
      </c>
      <c r="O22" s="1" t="s">
        <v>23</v>
      </c>
      <c r="P22" s="1">
        <v>3.0</v>
      </c>
      <c r="Q22" s="3">
        <f t="shared" si="1"/>
        <v>300</v>
      </c>
    </row>
    <row r="23" ht="15.75" customHeight="1">
      <c r="A23" s="4" t="s">
        <v>464</v>
      </c>
      <c r="B23" s="4">
        <v>6.0040679E8</v>
      </c>
      <c r="C23" s="1" t="s">
        <v>517</v>
      </c>
      <c r="D23" s="1" t="s">
        <v>518</v>
      </c>
      <c r="E23" s="1">
        <v>10.0</v>
      </c>
      <c r="F23" s="1" t="s">
        <v>55</v>
      </c>
      <c r="G23" s="4" t="s">
        <v>21</v>
      </c>
      <c r="I23" s="1" t="s">
        <v>22</v>
      </c>
      <c r="J23" s="1" t="s">
        <v>22</v>
      </c>
      <c r="K23" s="1" t="s">
        <v>22</v>
      </c>
      <c r="L23" s="1">
        <v>0.0</v>
      </c>
      <c r="M23" s="1" t="s">
        <v>22</v>
      </c>
      <c r="N23" s="1">
        <v>3.0</v>
      </c>
      <c r="O23" s="1" t="s">
        <v>22</v>
      </c>
      <c r="P23" s="1">
        <v>3.0</v>
      </c>
      <c r="Q23" s="3">
        <f t="shared" si="1"/>
        <v>300</v>
      </c>
    </row>
    <row r="24" ht="15.75" customHeight="1">
      <c r="A24" s="4" t="s">
        <v>464</v>
      </c>
      <c r="B24" s="4">
        <v>6.00411535E8</v>
      </c>
      <c r="C24" s="1" t="s">
        <v>519</v>
      </c>
      <c r="D24" s="1" t="s">
        <v>520</v>
      </c>
      <c r="E24" s="1">
        <v>11.0</v>
      </c>
      <c r="F24" s="1" t="s">
        <v>55</v>
      </c>
      <c r="G24" s="4" t="s">
        <v>33</v>
      </c>
      <c r="I24" s="1" t="s">
        <v>22</v>
      </c>
      <c r="J24" s="1" t="s">
        <v>22</v>
      </c>
      <c r="K24" s="1" t="s">
        <v>22</v>
      </c>
      <c r="L24" s="1">
        <v>0.0</v>
      </c>
      <c r="M24" s="1" t="s">
        <v>22</v>
      </c>
      <c r="N24" s="1">
        <v>13.0</v>
      </c>
      <c r="O24" s="1" t="s">
        <v>23</v>
      </c>
      <c r="P24" s="1">
        <v>3.0</v>
      </c>
      <c r="Q24" s="3">
        <f t="shared" si="1"/>
        <v>300</v>
      </c>
    </row>
    <row r="25" ht="15.75" customHeight="1">
      <c r="A25" s="4" t="s">
        <v>464</v>
      </c>
      <c r="B25" s="4">
        <v>6.00406563E8</v>
      </c>
      <c r="C25" s="1" t="s">
        <v>129</v>
      </c>
      <c r="D25" s="1" t="s">
        <v>521</v>
      </c>
      <c r="E25" s="1">
        <v>10.0</v>
      </c>
      <c r="F25" s="1" t="s">
        <v>20</v>
      </c>
      <c r="G25" s="4" t="s">
        <v>33</v>
      </c>
      <c r="I25" s="1" t="s">
        <v>22</v>
      </c>
      <c r="J25" s="1" t="s">
        <v>22</v>
      </c>
      <c r="K25" s="1" t="s">
        <v>22</v>
      </c>
      <c r="L25" s="1">
        <v>0.0</v>
      </c>
      <c r="M25" s="1" t="s">
        <v>22</v>
      </c>
      <c r="N25" s="1">
        <v>4.0</v>
      </c>
      <c r="O25" s="1" t="s">
        <v>23</v>
      </c>
      <c r="P25" s="1">
        <v>3.0</v>
      </c>
      <c r="Q25" s="3">
        <f t="shared" si="1"/>
        <v>300</v>
      </c>
    </row>
    <row r="26" ht="15.75" customHeight="1">
      <c r="A26" s="1" t="s">
        <v>464</v>
      </c>
      <c r="B26" s="4">
        <v>6.00406749E8</v>
      </c>
      <c r="C26" s="1" t="s">
        <v>461</v>
      </c>
      <c r="D26" s="1" t="s">
        <v>522</v>
      </c>
      <c r="E26" s="1">
        <v>10.0</v>
      </c>
      <c r="F26" s="1" t="s">
        <v>20</v>
      </c>
      <c r="G26" s="4" t="s">
        <v>33</v>
      </c>
      <c r="I26" s="1" t="s">
        <v>22</v>
      </c>
      <c r="J26" s="1" t="s">
        <v>22</v>
      </c>
      <c r="K26" s="1" t="s">
        <v>22</v>
      </c>
      <c r="L26" s="1">
        <v>0.0</v>
      </c>
      <c r="M26" s="1" t="s">
        <v>22</v>
      </c>
      <c r="N26" s="1">
        <v>5.0</v>
      </c>
      <c r="O26" s="1" t="s">
        <v>23</v>
      </c>
      <c r="P26" s="1">
        <v>3.0</v>
      </c>
      <c r="Q26" s="3">
        <f t="shared" si="1"/>
        <v>300</v>
      </c>
    </row>
    <row r="27" ht="15.75" customHeight="1">
      <c r="A27" s="4" t="s">
        <v>464</v>
      </c>
      <c r="B27" s="4">
        <v>6.00406727E8</v>
      </c>
      <c r="C27" s="1" t="s">
        <v>523</v>
      </c>
      <c r="D27" s="1" t="s">
        <v>524</v>
      </c>
      <c r="E27" s="1">
        <v>10.0</v>
      </c>
      <c r="F27" s="1" t="s">
        <v>20</v>
      </c>
      <c r="G27" s="4" t="s">
        <v>33</v>
      </c>
      <c r="I27" s="1" t="s">
        <v>22</v>
      </c>
      <c r="J27" s="1" t="s">
        <v>22</v>
      </c>
      <c r="K27" s="1" t="s">
        <v>22</v>
      </c>
      <c r="L27" s="1">
        <v>0.0</v>
      </c>
      <c r="M27" s="1" t="s">
        <v>22</v>
      </c>
      <c r="N27" s="1">
        <v>8.0</v>
      </c>
      <c r="O27" s="1" t="s">
        <v>23</v>
      </c>
      <c r="P27" s="1">
        <v>3.0</v>
      </c>
      <c r="Q27" s="3">
        <f t="shared" si="1"/>
        <v>300</v>
      </c>
    </row>
    <row r="28" ht="15.75" customHeight="1">
      <c r="A28" s="1" t="s">
        <v>464</v>
      </c>
      <c r="B28" s="4">
        <v>6.0040651E8</v>
      </c>
      <c r="C28" s="1" t="s">
        <v>277</v>
      </c>
      <c r="D28" s="1" t="s">
        <v>525</v>
      </c>
      <c r="E28" s="1">
        <v>10.0</v>
      </c>
      <c r="F28" s="1" t="s">
        <v>20</v>
      </c>
      <c r="G28" s="4" t="s">
        <v>33</v>
      </c>
      <c r="I28" s="1" t="s">
        <v>22</v>
      </c>
      <c r="J28" s="1" t="s">
        <v>22</v>
      </c>
      <c r="K28" s="1" t="s">
        <v>22</v>
      </c>
      <c r="L28" s="1">
        <v>2.0</v>
      </c>
      <c r="M28" s="1" t="s">
        <v>22</v>
      </c>
      <c r="N28" s="1">
        <v>3.0</v>
      </c>
      <c r="O28" s="1" t="s">
        <v>22</v>
      </c>
      <c r="P28" s="1">
        <v>3.0</v>
      </c>
      <c r="Q28" s="3">
        <f t="shared" si="1"/>
        <v>300</v>
      </c>
    </row>
    <row r="29" ht="15.75" customHeight="1">
      <c r="A29" s="4" t="s">
        <v>464</v>
      </c>
      <c r="I29" s="1"/>
      <c r="J29" s="1"/>
      <c r="K29" s="1"/>
      <c r="L29" s="1"/>
      <c r="M29" s="1"/>
      <c r="N29" s="1"/>
      <c r="O29" s="1"/>
      <c r="P29" s="1">
        <f t="shared" ref="P29:P31" si="2">COUNTIF(I29:O29, "✔️")</f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2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2"/>
        <v>0</v>
      </c>
      <c r="Q31" s="3">
        <f t="shared" si="1"/>
        <v>0</v>
      </c>
    </row>
    <row r="32" ht="15.75" customHeight="1">
      <c r="I32" s="1">
        <f t="shared" ref="I32:K32" si="3">COUNTIF(I2:I31, "✔️")</f>
        <v>27</v>
      </c>
      <c r="J32" s="1">
        <f t="shared" si="3"/>
        <v>27</v>
      </c>
      <c r="K32" s="1">
        <f t="shared" si="3"/>
        <v>27</v>
      </c>
      <c r="L32" s="1"/>
      <c r="M32" s="1">
        <f>COUNTIF(M2:M31, "✔️")</f>
        <v>25</v>
      </c>
      <c r="N32" s="1"/>
      <c r="O32" s="1">
        <f>COUNTIF(O2:O31, "✔️")</f>
        <v>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526</v>
      </c>
      <c r="B2" s="4">
        <v>6.00407953E8</v>
      </c>
      <c r="C2" s="1" t="s">
        <v>527</v>
      </c>
      <c r="D2" s="1" t="s">
        <v>528</v>
      </c>
      <c r="E2" s="1">
        <v>10.0</v>
      </c>
      <c r="F2" s="1" t="s">
        <v>55</v>
      </c>
      <c r="G2" s="4" t="s">
        <v>21</v>
      </c>
      <c r="I2" s="1" t="s">
        <v>22</v>
      </c>
      <c r="J2" s="1" t="s">
        <v>23</v>
      </c>
      <c r="K2" s="1" t="s">
        <v>22</v>
      </c>
      <c r="L2" s="1">
        <v>0.0</v>
      </c>
      <c r="M2" s="1" t="s">
        <v>22</v>
      </c>
      <c r="N2" s="1">
        <v>2.0</v>
      </c>
      <c r="O2" s="1" t="s">
        <v>22</v>
      </c>
      <c r="P2" s="1">
        <v>3.0</v>
      </c>
      <c r="Q2" s="3">
        <f t="shared" ref="Q2:Q31" si="1">IF(P2=1, 100, IF(P2=2, 200, IF(P2=3, 300, 0)))</f>
        <v>300</v>
      </c>
    </row>
    <row r="3" ht="15.75" customHeight="1">
      <c r="A3" s="1" t="s">
        <v>526</v>
      </c>
      <c r="B3" s="4">
        <v>6.00412517E8</v>
      </c>
      <c r="C3" s="1" t="s">
        <v>529</v>
      </c>
      <c r="D3" s="1" t="s">
        <v>173</v>
      </c>
      <c r="E3" s="1">
        <v>9.0</v>
      </c>
      <c r="F3" s="1" t="s">
        <v>20</v>
      </c>
      <c r="G3" s="4" t="s">
        <v>33</v>
      </c>
      <c r="I3" s="1" t="s">
        <v>23</v>
      </c>
      <c r="J3" s="1" t="s">
        <v>23</v>
      </c>
      <c r="K3" s="1" t="s">
        <v>23</v>
      </c>
      <c r="L3" s="1">
        <v>3.0</v>
      </c>
      <c r="M3" s="1" t="s">
        <v>23</v>
      </c>
      <c r="N3" s="1">
        <v>5.0</v>
      </c>
      <c r="O3" s="1" t="s">
        <v>23</v>
      </c>
      <c r="P3" s="1">
        <f t="shared" ref="P3:P4" si="2">COUNTIF(I3:O3, "✔️")</f>
        <v>0</v>
      </c>
      <c r="Q3" s="3">
        <f t="shared" si="1"/>
        <v>0</v>
      </c>
    </row>
    <row r="4" ht="15.75" customHeight="1">
      <c r="A4" s="1" t="s">
        <v>526</v>
      </c>
      <c r="B4" s="4">
        <v>6.00408041E8</v>
      </c>
      <c r="C4" s="1" t="s">
        <v>530</v>
      </c>
      <c r="D4" s="1" t="s">
        <v>531</v>
      </c>
      <c r="E4" s="1">
        <v>9.0</v>
      </c>
      <c r="F4" s="1" t="s">
        <v>20</v>
      </c>
      <c r="G4" s="4" t="s">
        <v>21</v>
      </c>
      <c r="I4" s="1" t="s">
        <v>22</v>
      </c>
      <c r="J4" s="1" t="s">
        <v>23</v>
      </c>
      <c r="K4" s="1" t="s">
        <v>23</v>
      </c>
      <c r="L4" s="1">
        <v>0.0</v>
      </c>
      <c r="M4" s="1" t="s">
        <v>22</v>
      </c>
      <c r="N4" s="1">
        <v>5.0</v>
      </c>
      <c r="O4" s="1" t="s">
        <v>23</v>
      </c>
      <c r="P4" s="1">
        <f t="shared" si="2"/>
        <v>2</v>
      </c>
      <c r="Q4" s="3">
        <f t="shared" si="1"/>
        <v>200</v>
      </c>
    </row>
    <row r="5" ht="15.75" customHeight="1">
      <c r="A5" s="1" t="s">
        <v>526</v>
      </c>
      <c r="B5" s="4">
        <v>6.00408289E8</v>
      </c>
      <c r="C5" s="1" t="s">
        <v>532</v>
      </c>
      <c r="D5" s="1" t="s">
        <v>193</v>
      </c>
      <c r="E5" s="1">
        <v>10.0</v>
      </c>
      <c r="F5" s="1" t="s">
        <v>42</v>
      </c>
      <c r="G5" s="4" t="s">
        <v>33</v>
      </c>
      <c r="I5" s="1" t="s">
        <v>22</v>
      </c>
      <c r="J5" s="1" t="s">
        <v>23</v>
      </c>
      <c r="K5" s="1" t="s">
        <v>22</v>
      </c>
      <c r="L5" s="1">
        <v>1.0</v>
      </c>
      <c r="M5" s="1" t="s">
        <v>22</v>
      </c>
      <c r="N5" s="1">
        <v>2.0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526</v>
      </c>
      <c r="B6" s="4">
        <v>6.00412786E8</v>
      </c>
      <c r="C6" s="1" t="s">
        <v>286</v>
      </c>
      <c r="D6" s="1" t="s">
        <v>533</v>
      </c>
      <c r="E6" s="1">
        <v>9.0</v>
      </c>
      <c r="G6" s="4" t="s">
        <v>21</v>
      </c>
      <c r="I6" s="1" t="s">
        <v>22</v>
      </c>
      <c r="J6" s="1" t="s">
        <v>23</v>
      </c>
      <c r="K6" s="1" t="s">
        <v>23</v>
      </c>
      <c r="L6" s="1">
        <v>0.0</v>
      </c>
      <c r="M6" s="1" t="s">
        <v>22</v>
      </c>
      <c r="N6" s="1">
        <v>5.0</v>
      </c>
      <c r="O6" s="1" t="s">
        <v>23</v>
      </c>
      <c r="P6" s="1">
        <f t="shared" ref="P6:P8" si="3">COUNTIF(I6:O6, "✔️")</f>
        <v>2</v>
      </c>
      <c r="Q6" s="3">
        <f t="shared" si="1"/>
        <v>200</v>
      </c>
    </row>
    <row r="7" ht="15.75" customHeight="1">
      <c r="A7" s="1" t="s">
        <v>526</v>
      </c>
      <c r="B7" s="4">
        <v>6.00411379E8</v>
      </c>
      <c r="C7" s="1" t="s">
        <v>362</v>
      </c>
      <c r="D7" s="1" t="s">
        <v>534</v>
      </c>
      <c r="E7" s="1">
        <v>9.0</v>
      </c>
      <c r="F7" s="1" t="s">
        <v>42</v>
      </c>
      <c r="G7" s="4" t="s">
        <v>21</v>
      </c>
      <c r="I7" s="1" t="s">
        <v>22</v>
      </c>
      <c r="J7" s="1" t="s">
        <v>23</v>
      </c>
      <c r="K7" s="1" t="s">
        <v>22</v>
      </c>
      <c r="L7" s="1">
        <v>0.0</v>
      </c>
      <c r="M7" s="1" t="s">
        <v>22</v>
      </c>
      <c r="N7" s="1">
        <v>6.0</v>
      </c>
      <c r="O7" s="1" t="s">
        <v>23</v>
      </c>
      <c r="P7" s="1">
        <f t="shared" si="3"/>
        <v>3</v>
      </c>
      <c r="Q7" s="3">
        <f t="shared" si="1"/>
        <v>300</v>
      </c>
    </row>
    <row r="8" ht="15.75" customHeight="1">
      <c r="A8" s="1" t="s">
        <v>526</v>
      </c>
      <c r="B8" s="4">
        <v>6.00409371E8</v>
      </c>
      <c r="C8" s="1" t="s">
        <v>219</v>
      </c>
      <c r="D8" s="1" t="s">
        <v>535</v>
      </c>
      <c r="E8" s="1">
        <v>9.0</v>
      </c>
      <c r="F8" s="1" t="s">
        <v>55</v>
      </c>
      <c r="G8" s="4" t="s">
        <v>21</v>
      </c>
      <c r="I8" s="1" t="s">
        <v>23</v>
      </c>
      <c r="J8" s="1" t="s">
        <v>23</v>
      </c>
      <c r="K8" s="1" t="s">
        <v>22</v>
      </c>
      <c r="L8" s="1">
        <v>0.0</v>
      </c>
      <c r="M8" s="1" t="s">
        <v>22</v>
      </c>
      <c r="N8" s="1">
        <v>6.0</v>
      </c>
      <c r="O8" s="1" t="s">
        <v>23</v>
      </c>
      <c r="P8" s="1">
        <f t="shared" si="3"/>
        <v>2</v>
      </c>
      <c r="Q8" s="3">
        <f t="shared" si="1"/>
        <v>200</v>
      </c>
    </row>
    <row r="9" ht="15.75" customHeight="1">
      <c r="A9" s="1" t="s">
        <v>526</v>
      </c>
      <c r="B9" s="4">
        <v>6.00412432E8</v>
      </c>
      <c r="C9" s="1" t="s">
        <v>536</v>
      </c>
      <c r="D9" s="1" t="s">
        <v>537</v>
      </c>
      <c r="E9" s="1">
        <v>9.0</v>
      </c>
      <c r="F9" s="1" t="s">
        <v>55</v>
      </c>
      <c r="G9" s="4" t="s">
        <v>21</v>
      </c>
      <c r="I9" s="1" t="s">
        <v>22</v>
      </c>
      <c r="J9" s="1" t="s">
        <v>23</v>
      </c>
      <c r="K9" s="1" t="s">
        <v>22</v>
      </c>
      <c r="L9" s="1">
        <v>0.0</v>
      </c>
      <c r="M9" s="1" t="s">
        <v>22</v>
      </c>
      <c r="N9" s="1">
        <v>3.0</v>
      </c>
      <c r="O9" s="1" t="s">
        <v>22</v>
      </c>
      <c r="P9" s="1">
        <v>3.0</v>
      </c>
      <c r="Q9" s="3">
        <f t="shared" si="1"/>
        <v>300</v>
      </c>
    </row>
    <row r="10" ht="15.75" customHeight="1">
      <c r="A10" s="1" t="s">
        <v>526</v>
      </c>
      <c r="B10" s="4">
        <v>6.00409176E8</v>
      </c>
      <c r="C10" s="1" t="s">
        <v>538</v>
      </c>
      <c r="D10" s="1" t="s">
        <v>539</v>
      </c>
      <c r="E10" s="1">
        <v>9.0</v>
      </c>
      <c r="F10" s="1" t="s">
        <v>20</v>
      </c>
      <c r="G10" s="4" t="s">
        <v>21</v>
      </c>
      <c r="I10" s="1" t="s">
        <v>22</v>
      </c>
      <c r="J10" s="1" t="s">
        <v>23</v>
      </c>
      <c r="K10" s="1" t="s">
        <v>23</v>
      </c>
      <c r="L10" s="1">
        <v>0.0</v>
      </c>
      <c r="M10" s="1" t="s">
        <v>22</v>
      </c>
      <c r="N10" s="1">
        <v>7.0</v>
      </c>
      <c r="O10" s="1" t="s">
        <v>23</v>
      </c>
      <c r="P10" s="1">
        <f t="shared" ref="P10:P11" si="4">COUNTIF(I10:O10, "✔️")</f>
        <v>2</v>
      </c>
      <c r="Q10" s="3">
        <f t="shared" si="1"/>
        <v>200</v>
      </c>
    </row>
    <row r="11" ht="15.75" customHeight="1">
      <c r="A11" s="1" t="s">
        <v>526</v>
      </c>
      <c r="B11" s="4">
        <v>6.00408822E8</v>
      </c>
      <c r="C11" s="1" t="s">
        <v>540</v>
      </c>
      <c r="D11" s="1" t="s">
        <v>541</v>
      </c>
      <c r="E11" s="1">
        <v>9.0</v>
      </c>
      <c r="F11" s="1" t="s">
        <v>55</v>
      </c>
      <c r="G11" s="4" t="s">
        <v>33</v>
      </c>
      <c r="I11" s="1" t="s">
        <v>22</v>
      </c>
      <c r="J11" s="1" t="s">
        <v>23</v>
      </c>
      <c r="K11" s="1" t="s">
        <v>23</v>
      </c>
      <c r="L11" s="1">
        <v>1.0</v>
      </c>
      <c r="M11" s="1" t="s">
        <v>22</v>
      </c>
      <c r="N11" s="1">
        <v>1.0</v>
      </c>
      <c r="O11" s="1" t="s">
        <v>22</v>
      </c>
      <c r="P11" s="1">
        <f t="shared" si="4"/>
        <v>3</v>
      </c>
      <c r="Q11" s="3">
        <f t="shared" si="1"/>
        <v>300</v>
      </c>
    </row>
    <row r="12" ht="15.75" customHeight="1">
      <c r="A12" s="1" t="s">
        <v>526</v>
      </c>
      <c r="B12" s="4">
        <v>6.0040749E8</v>
      </c>
      <c r="C12" s="1" t="s">
        <v>542</v>
      </c>
      <c r="D12" s="1" t="s">
        <v>100</v>
      </c>
      <c r="E12" s="1">
        <v>9.0</v>
      </c>
      <c r="F12" s="1" t="s">
        <v>55</v>
      </c>
      <c r="G12" s="4" t="s">
        <v>21</v>
      </c>
      <c r="I12" s="1" t="s">
        <v>22</v>
      </c>
      <c r="J12" s="1" t="s">
        <v>23</v>
      </c>
      <c r="K12" s="1" t="s">
        <v>22</v>
      </c>
      <c r="L12" s="1">
        <v>0.0</v>
      </c>
      <c r="M12" s="1" t="s">
        <v>22</v>
      </c>
      <c r="N12" s="1">
        <v>1.0</v>
      </c>
      <c r="O12" s="1" t="s">
        <v>22</v>
      </c>
      <c r="P12" s="1">
        <v>3.0</v>
      </c>
      <c r="Q12" s="3">
        <f t="shared" si="1"/>
        <v>300</v>
      </c>
    </row>
    <row r="13" ht="15.75" customHeight="1">
      <c r="A13" s="1" t="s">
        <v>526</v>
      </c>
      <c r="B13" s="4">
        <v>6.00405127E8</v>
      </c>
      <c r="C13" s="1" t="s">
        <v>543</v>
      </c>
      <c r="D13" s="1" t="s">
        <v>223</v>
      </c>
      <c r="E13" s="1">
        <v>10.0</v>
      </c>
      <c r="F13" s="1" t="s">
        <v>20</v>
      </c>
      <c r="G13" s="4" t="s">
        <v>33</v>
      </c>
      <c r="I13" s="1" t="s">
        <v>22</v>
      </c>
      <c r="J13" s="1" t="s">
        <v>23</v>
      </c>
      <c r="K13" s="1" t="s">
        <v>22</v>
      </c>
      <c r="L13" s="1">
        <v>0.0</v>
      </c>
      <c r="M13" s="1" t="s">
        <v>22</v>
      </c>
      <c r="N13" s="1">
        <v>1.0</v>
      </c>
      <c r="O13" s="1" t="s">
        <v>22</v>
      </c>
      <c r="P13" s="1">
        <v>3.0</v>
      </c>
      <c r="Q13" s="3">
        <f t="shared" si="1"/>
        <v>300</v>
      </c>
    </row>
    <row r="14" ht="15.75" customHeight="1">
      <c r="A14" s="1" t="s">
        <v>526</v>
      </c>
      <c r="B14" s="4">
        <v>6.00410652E8</v>
      </c>
      <c r="C14" s="1" t="s">
        <v>40</v>
      </c>
      <c r="D14" s="1" t="s">
        <v>544</v>
      </c>
      <c r="E14" s="1">
        <v>10.0</v>
      </c>
      <c r="F14" s="1" t="s">
        <v>20</v>
      </c>
      <c r="G14" s="4" t="s">
        <v>21</v>
      </c>
      <c r="I14" s="1" t="s">
        <v>22</v>
      </c>
      <c r="J14" s="1" t="s">
        <v>23</v>
      </c>
      <c r="K14" s="1" t="s">
        <v>23</v>
      </c>
      <c r="L14" s="1">
        <v>0.0</v>
      </c>
      <c r="M14" s="1" t="s">
        <v>22</v>
      </c>
      <c r="N14" s="1">
        <v>7.0</v>
      </c>
      <c r="O14" s="1" t="s">
        <v>23</v>
      </c>
      <c r="P14" s="1">
        <f t="shared" ref="P14:P21" si="5">COUNTIF(I14:O14, "✔️")</f>
        <v>2</v>
      </c>
      <c r="Q14" s="3">
        <f t="shared" si="1"/>
        <v>200</v>
      </c>
    </row>
    <row r="15" ht="15.75" customHeight="1">
      <c r="A15" s="1" t="s">
        <v>526</v>
      </c>
      <c r="B15" s="4">
        <v>6.00407493E8</v>
      </c>
      <c r="C15" s="1" t="s">
        <v>185</v>
      </c>
      <c r="D15" s="1" t="s">
        <v>545</v>
      </c>
      <c r="E15" s="1">
        <v>9.0</v>
      </c>
      <c r="F15" s="1" t="s">
        <v>20</v>
      </c>
      <c r="G15" s="4" t="s">
        <v>33</v>
      </c>
      <c r="I15" s="1" t="s">
        <v>22</v>
      </c>
      <c r="J15" s="1" t="s">
        <v>23</v>
      </c>
      <c r="K15" s="1" t="s">
        <v>22</v>
      </c>
      <c r="L15" s="1">
        <v>0.0</v>
      </c>
      <c r="M15" s="1" t="s">
        <v>22</v>
      </c>
      <c r="N15" s="1">
        <v>4.0</v>
      </c>
      <c r="O15" s="1" t="s">
        <v>23</v>
      </c>
      <c r="P15" s="1">
        <f t="shared" si="5"/>
        <v>3</v>
      </c>
      <c r="Q15" s="3">
        <f t="shared" si="1"/>
        <v>300</v>
      </c>
    </row>
    <row r="16" ht="15.75" customHeight="1">
      <c r="A16" s="1" t="s">
        <v>526</v>
      </c>
      <c r="B16" s="4">
        <v>6.00408378E8</v>
      </c>
      <c r="C16" s="1" t="s">
        <v>442</v>
      </c>
      <c r="D16" s="1" t="s">
        <v>546</v>
      </c>
      <c r="E16" s="1">
        <v>9.0</v>
      </c>
      <c r="F16" s="1" t="s">
        <v>20</v>
      </c>
      <c r="G16" s="4" t="s">
        <v>21</v>
      </c>
      <c r="I16" s="1" t="s">
        <v>22</v>
      </c>
      <c r="J16" s="1" t="s">
        <v>23</v>
      </c>
      <c r="K16" s="1" t="s">
        <v>23</v>
      </c>
      <c r="L16" s="1">
        <v>3.0</v>
      </c>
      <c r="M16" s="1" t="s">
        <v>23</v>
      </c>
      <c r="N16" s="1">
        <v>1.0</v>
      </c>
      <c r="O16" s="1" t="s">
        <v>22</v>
      </c>
      <c r="P16" s="1">
        <f t="shared" si="5"/>
        <v>2</v>
      </c>
      <c r="Q16" s="3">
        <f t="shared" si="1"/>
        <v>200</v>
      </c>
    </row>
    <row r="17" ht="15.75" customHeight="1">
      <c r="A17" s="1" t="s">
        <v>526</v>
      </c>
      <c r="B17" s="4">
        <v>6.0041084E8</v>
      </c>
      <c r="C17" s="1" t="s">
        <v>86</v>
      </c>
      <c r="D17" s="1" t="s">
        <v>547</v>
      </c>
      <c r="E17" s="1">
        <v>9.0</v>
      </c>
      <c r="F17" s="1" t="s">
        <v>20</v>
      </c>
      <c r="G17" s="4" t="s">
        <v>21</v>
      </c>
      <c r="I17" s="1" t="s">
        <v>22</v>
      </c>
      <c r="J17" s="1" t="s">
        <v>23</v>
      </c>
      <c r="K17" s="1" t="s">
        <v>23</v>
      </c>
      <c r="L17" s="1">
        <v>1.0</v>
      </c>
      <c r="M17" s="1" t="s">
        <v>22</v>
      </c>
      <c r="N17" s="1">
        <v>4.0</v>
      </c>
      <c r="O17" s="1" t="s">
        <v>23</v>
      </c>
      <c r="P17" s="1">
        <f t="shared" si="5"/>
        <v>2</v>
      </c>
      <c r="Q17" s="3">
        <f t="shared" si="1"/>
        <v>200</v>
      </c>
    </row>
    <row r="18" ht="15.75" customHeight="1">
      <c r="A18" s="1" t="s">
        <v>526</v>
      </c>
      <c r="B18" s="4">
        <v>6.00407954E8</v>
      </c>
      <c r="C18" s="1" t="s">
        <v>548</v>
      </c>
      <c r="D18" s="1" t="s">
        <v>549</v>
      </c>
      <c r="E18" s="1">
        <v>9.0</v>
      </c>
      <c r="F18" s="1" t="s">
        <v>20</v>
      </c>
      <c r="G18" s="4" t="s">
        <v>33</v>
      </c>
      <c r="I18" s="1" t="s">
        <v>23</v>
      </c>
      <c r="J18" s="1" t="s">
        <v>23</v>
      </c>
      <c r="K18" s="1" t="s">
        <v>22</v>
      </c>
      <c r="L18" s="1">
        <v>0.0</v>
      </c>
      <c r="M18" s="1" t="s">
        <v>22</v>
      </c>
      <c r="N18" s="1">
        <v>0.0</v>
      </c>
      <c r="O18" s="1" t="s">
        <v>22</v>
      </c>
      <c r="P18" s="1">
        <f t="shared" si="5"/>
        <v>3</v>
      </c>
      <c r="Q18" s="3">
        <f t="shared" si="1"/>
        <v>300</v>
      </c>
    </row>
    <row r="19" ht="15.75" customHeight="1">
      <c r="A19" s="1" t="s">
        <v>526</v>
      </c>
      <c r="B19" s="4">
        <v>6.00406768E8</v>
      </c>
      <c r="C19" s="1" t="s">
        <v>261</v>
      </c>
      <c r="D19" s="1" t="s">
        <v>550</v>
      </c>
      <c r="E19" s="1">
        <v>9.0</v>
      </c>
      <c r="F19" s="1" t="s">
        <v>20</v>
      </c>
      <c r="G19" s="4" t="s">
        <v>33</v>
      </c>
      <c r="I19" s="1" t="s">
        <v>22</v>
      </c>
      <c r="J19" s="1" t="s">
        <v>23</v>
      </c>
      <c r="K19" s="1" t="s">
        <v>23</v>
      </c>
      <c r="L19" s="1">
        <v>0.0</v>
      </c>
      <c r="M19" s="1" t="s">
        <v>22</v>
      </c>
      <c r="N19" s="1">
        <v>7.0</v>
      </c>
      <c r="O19" s="1" t="s">
        <v>23</v>
      </c>
      <c r="P19" s="1">
        <f t="shared" si="5"/>
        <v>2</v>
      </c>
      <c r="Q19" s="3">
        <f t="shared" si="1"/>
        <v>200</v>
      </c>
    </row>
    <row r="20" ht="15.75" customHeight="1">
      <c r="A20" s="1" t="s">
        <v>526</v>
      </c>
      <c r="B20" s="4">
        <v>6.00411988E8</v>
      </c>
      <c r="C20" s="1" t="s">
        <v>263</v>
      </c>
      <c r="D20" s="1" t="s">
        <v>551</v>
      </c>
      <c r="E20" s="1">
        <v>9.0</v>
      </c>
      <c r="F20" s="1" t="s">
        <v>55</v>
      </c>
      <c r="G20" s="4" t="s">
        <v>33</v>
      </c>
      <c r="I20" s="1" t="s">
        <v>22</v>
      </c>
      <c r="J20" s="1" t="s">
        <v>23</v>
      </c>
      <c r="K20" s="1" t="s">
        <v>23</v>
      </c>
      <c r="L20" s="1">
        <v>3.0</v>
      </c>
      <c r="M20" s="1" t="s">
        <v>23</v>
      </c>
      <c r="N20" s="1">
        <v>5.0</v>
      </c>
      <c r="O20" s="1" t="s">
        <v>23</v>
      </c>
      <c r="P20" s="1">
        <f t="shared" si="5"/>
        <v>1</v>
      </c>
      <c r="Q20" s="3">
        <f t="shared" si="1"/>
        <v>100</v>
      </c>
    </row>
    <row r="21" ht="15.75" customHeight="1">
      <c r="A21" s="1" t="s">
        <v>526</v>
      </c>
      <c r="B21" s="4">
        <v>6.00409641E8</v>
      </c>
      <c r="C21" s="1" t="s">
        <v>124</v>
      </c>
      <c r="D21" s="1" t="s">
        <v>552</v>
      </c>
      <c r="E21" s="1">
        <v>9.0</v>
      </c>
      <c r="F21" s="1" t="s">
        <v>20</v>
      </c>
      <c r="G21" s="4" t="s">
        <v>33</v>
      </c>
      <c r="I21" s="1" t="s">
        <v>22</v>
      </c>
      <c r="J21" s="1" t="s">
        <v>23</v>
      </c>
      <c r="K21" s="1" t="s">
        <v>22</v>
      </c>
      <c r="L21" s="1">
        <v>0.0</v>
      </c>
      <c r="M21" s="1" t="s">
        <v>22</v>
      </c>
      <c r="N21" s="1">
        <v>5.0</v>
      </c>
      <c r="O21" s="1" t="s">
        <v>23</v>
      </c>
      <c r="P21" s="1">
        <f t="shared" si="5"/>
        <v>3</v>
      </c>
      <c r="Q21" s="3">
        <f t="shared" si="1"/>
        <v>300</v>
      </c>
    </row>
    <row r="22" ht="15.75" customHeight="1">
      <c r="A22" s="1" t="s">
        <v>526</v>
      </c>
      <c r="B22" s="4">
        <v>6.00407489E8</v>
      </c>
      <c r="C22" s="1" t="s">
        <v>553</v>
      </c>
      <c r="D22" s="1" t="s">
        <v>554</v>
      </c>
      <c r="E22" s="1">
        <v>9.0</v>
      </c>
      <c r="F22" s="1" t="s">
        <v>55</v>
      </c>
      <c r="G22" s="4" t="s">
        <v>33</v>
      </c>
      <c r="I22" s="1" t="s">
        <v>22</v>
      </c>
      <c r="J22" s="1" t="s">
        <v>23</v>
      </c>
      <c r="K22" s="1" t="s">
        <v>22</v>
      </c>
      <c r="L22" s="1">
        <v>0.0</v>
      </c>
      <c r="M22" s="1" t="s">
        <v>22</v>
      </c>
      <c r="N22" s="1">
        <v>2.0</v>
      </c>
      <c r="O22" s="1" t="s">
        <v>22</v>
      </c>
      <c r="P22" s="1">
        <v>3.0</v>
      </c>
      <c r="Q22" s="3">
        <f t="shared" si="1"/>
        <v>300</v>
      </c>
    </row>
    <row r="23" ht="15.75" customHeight="1">
      <c r="A23" s="1" t="s">
        <v>526</v>
      </c>
      <c r="B23" s="4">
        <v>6.00407917E8</v>
      </c>
      <c r="C23" s="1" t="s">
        <v>270</v>
      </c>
      <c r="D23" s="1" t="s">
        <v>555</v>
      </c>
      <c r="E23" s="1">
        <v>9.0</v>
      </c>
      <c r="F23" s="1" t="s">
        <v>20</v>
      </c>
      <c r="G23" s="4" t="s">
        <v>21</v>
      </c>
      <c r="I23" s="1" t="s">
        <v>22</v>
      </c>
      <c r="J23" s="1" t="s">
        <v>23</v>
      </c>
      <c r="K23" s="1" t="s">
        <v>23</v>
      </c>
      <c r="L23" s="1">
        <v>0.0</v>
      </c>
      <c r="M23" s="1" t="s">
        <v>22</v>
      </c>
      <c r="N23" s="1">
        <v>2.0</v>
      </c>
      <c r="O23" s="1" t="s">
        <v>22</v>
      </c>
      <c r="P23" s="1">
        <f t="shared" ref="P23:P24" si="6">COUNTIF(I23:O23, "✔️")</f>
        <v>3</v>
      </c>
      <c r="Q23" s="3">
        <f t="shared" si="1"/>
        <v>300</v>
      </c>
    </row>
    <row r="24" ht="15.75" customHeight="1">
      <c r="A24" s="1" t="s">
        <v>526</v>
      </c>
      <c r="B24" s="4">
        <v>6.00410653E8</v>
      </c>
      <c r="C24" s="1" t="s">
        <v>556</v>
      </c>
      <c r="D24" s="1" t="s">
        <v>557</v>
      </c>
      <c r="E24" s="1">
        <v>9.0</v>
      </c>
      <c r="F24" s="1" t="s">
        <v>55</v>
      </c>
      <c r="G24" s="4" t="s">
        <v>21</v>
      </c>
      <c r="I24" s="1" t="s">
        <v>23</v>
      </c>
      <c r="J24" s="1" t="s">
        <v>23</v>
      </c>
      <c r="K24" s="1" t="s">
        <v>22</v>
      </c>
      <c r="L24" s="1">
        <v>0.0</v>
      </c>
      <c r="M24" s="1" t="s">
        <v>22</v>
      </c>
      <c r="N24" s="1">
        <v>9.0</v>
      </c>
      <c r="O24" s="1" t="s">
        <v>23</v>
      </c>
      <c r="P24" s="1">
        <f t="shared" si="6"/>
        <v>2</v>
      </c>
      <c r="Q24" s="3">
        <f t="shared" si="1"/>
        <v>200</v>
      </c>
    </row>
    <row r="25" ht="15.75" customHeight="1">
      <c r="A25" s="1" t="s">
        <v>526</v>
      </c>
      <c r="B25" s="4">
        <v>6.00408098E8</v>
      </c>
      <c r="C25" s="1" t="s">
        <v>558</v>
      </c>
      <c r="D25" s="1" t="s">
        <v>559</v>
      </c>
      <c r="E25" s="1">
        <v>10.0</v>
      </c>
      <c r="F25" s="1" t="s">
        <v>20</v>
      </c>
      <c r="G25" s="4" t="s">
        <v>21</v>
      </c>
      <c r="I25" s="1" t="s">
        <v>22</v>
      </c>
      <c r="J25" s="1" t="s">
        <v>23</v>
      </c>
      <c r="K25" s="1" t="s">
        <v>22</v>
      </c>
      <c r="L25" s="1">
        <v>0.0</v>
      </c>
      <c r="M25" s="1" t="s">
        <v>22</v>
      </c>
      <c r="N25" s="1">
        <v>0.0</v>
      </c>
      <c r="O25" s="1" t="s">
        <v>22</v>
      </c>
      <c r="P25" s="1">
        <v>3.0</v>
      </c>
      <c r="Q25" s="3">
        <f t="shared" si="1"/>
        <v>300</v>
      </c>
    </row>
    <row r="26" ht="15.75" customHeight="1">
      <c r="A26" s="1" t="s">
        <v>526</v>
      </c>
      <c r="B26" s="4">
        <v>6.00404873E8</v>
      </c>
      <c r="C26" s="1" t="s">
        <v>129</v>
      </c>
      <c r="D26" s="1" t="s">
        <v>50</v>
      </c>
      <c r="E26" s="1">
        <v>9.0</v>
      </c>
      <c r="F26" s="1" t="s">
        <v>55</v>
      </c>
      <c r="G26" s="4" t="s">
        <v>21</v>
      </c>
      <c r="I26" s="1" t="s">
        <v>22</v>
      </c>
      <c r="J26" s="1" t="s">
        <v>23</v>
      </c>
      <c r="K26" s="1" t="s">
        <v>23</v>
      </c>
      <c r="L26" s="1">
        <v>1.0</v>
      </c>
      <c r="M26" s="1" t="s">
        <v>22</v>
      </c>
      <c r="N26" s="1">
        <v>1.0</v>
      </c>
      <c r="O26" s="1" t="s">
        <v>22</v>
      </c>
      <c r="P26" s="1">
        <f>COUNTIF(I26:O26, "✔️")</f>
        <v>3</v>
      </c>
      <c r="Q26" s="3">
        <f t="shared" si="1"/>
        <v>300</v>
      </c>
    </row>
    <row r="27" ht="15.75" customHeight="1">
      <c r="A27" s="1" t="s">
        <v>526</v>
      </c>
      <c r="B27" s="4">
        <v>6.00407545E8</v>
      </c>
      <c r="C27" s="1" t="s">
        <v>560</v>
      </c>
      <c r="D27" s="1" t="s">
        <v>561</v>
      </c>
      <c r="E27" s="1">
        <v>10.0</v>
      </c>
      <c r="F27" s="1" t="s">
        <v>55</v>
      </c>
      <c r="G27" s="4" t="s">
        <v>21</v>
      </c>
      <c r="I27" s="1" t="s">
        <v>22</v>
      </c>
      <c r="J27" s="1" t="s">
        <v>23</v>
      </c>
      <c r="K27" s="1" t="s">
        <v>22</v>
      </c>
      <c r="L27" s="1">
        <v>0.0</v>
      </c>
      <c r="M27" s="1" t="s">
        <v>22</v>
      </c>
      <c r="N27" s="1">
        <v>1.0</v>
      </c>
      <c r="O27" s="1" t="s">
        <v>22</v>
      </c>
      <c r="P27" s="1">
        <v>3.0</v>
      </c>
      <c r="Q27" s="3">
        <f t="shared" si="1"/>
        <v>300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ref="P28:P31" si="7">COUNTIF(I28:O28, "✔️")</f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7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7"/>
        <v>0</v>
      </c>
      <c r="Q30" s="3">
        <f t="shared" si="1"/>
        <v>0</v>
      </c>
    </row>
    <row r="31" ht="15.75" customHeight="1">
      <c r="I31" s="1" t="s">
        <v>23</v>
      </c>
      <c r="J31" s="1"/>
      <c r="K31" s="1"/>
      <c r="L31" s="1"/>
      <c r="M31" s="1"/>
      <c r="N31" s="1"/>
      <c r="O31" s="1"/>
      <c r="P31" s="1">
        <f t="shared" si="7"/>
        <v>0</v>
      </c>
      <c r="Q31" s="3">
        <f t="shared" si="1"/>
        <v>0</v>
      </c>
    </row>
    <row r="32" ht="15.75" customHeight="1">
      <c r="I32" s="1">
        <f t="shared" ref="I32:K32" si="8">COUNTIF(I2:I31, "✔️")</f>
        <v>22</v>
      </c>
      <c r="J32" s="1">
        <f t="shared" si="8"/>
        <v>0</v>
      </c>
      <c r="K32" s="1">
        <f t="shared" si="8"/>
        <v>14</v>
      </c>
      <c r="L32" s="1"/>
      <c r="M32" s="1">
        <f>COUNTIF(M2:M31, "✔️")</f>
        <v>23</v>
      </c>
      <c r="N32" s="1"/>
      <c r="O32" s="1">
        <f>COUNTIF(O2:O31, "✔️")</f>
        <v>13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526</v>
      </c>
      <c r="B2" s="10">
        <v>6.00406322E8</v>
      </c>
      <c r="C2" s="1" t="s">
        <v>562</v>
      </c>
      <c r="D2" s="1" t="s">
        <v>563</v>
      </c>
      <c r="E2" s="1">
        <v>9.0</v>
      </c>
      <c r="F2" s="1" t="s">
        <v>55</v>
      </c>
      <c r="G2" s="9" t="s">
        <v>21</v>
      </c>
      <c r="I2" s="1" t="s">
        <v>22</v>
      </c>
      <c r="J2" s="1" t="s">
        <v>23</v>
      </c>
      <c r="K2" s="1" t="s">
        <v>22</v>
      </c>
      <c r="L2" s="1"/>
      <c r="M2" s="1" t="s">
        <v>22</v>
      </c>
      <c r="N2" s="1">
        <v>4.0</v>
      </c>
      <c r="O2" s="1" t="s">
        <v>23</v>
      </c>
      <c r="P2" s="1">
        <f t="shared" ref="P2:P6" si="1">COUNTIF(I2:O2, "✔️")</f>
        <v>3</v>
      </c>
      <c r="Q2" s="3">
        <f t="shared" ref="Q2:Q29" si="2">IF(P2=1, 100, IF(P2=2, 200, IF(P2=3, 300, 0)))</f>
        <v>300</v>
      </c>
    </row>
    <row r="3" ht="15.75" customHeight="1">
      <c r="A3" s="1" t="s">
        <v>526</v>
      </c>
      <c r="B3" s="11">
        <v>6.0040835E8</v>
      </c>
      <c r="C3" s="1" t="s">
        <v>564</v>
      </c>
      <c r="D3" s="1" t="s">
        <v>565</v>
      </c>
      <c r="E3" s="1">
        <v>9.0</v>
      </c>
      <c r="F3" s="1" t="s">
        <v>20</v>
      </c>
      <c r="G3" s="4" t="s">
        <v>21</v>
      </c>
      <c r="I3" s="1" t="s">
        <v>23</v>
      </c>
      <c r="J3" s="1" t="s">
        <v>23</v>
      </c>
      <c r="K3" s="1" t="s">
        <v>22</v>
      </c>
      <c r="L3" s="1">
        <v>3.0</v>
      </c>
      <c r="M3" s="1" t="s">
        <v>23</v>
      </c>
      <c r="N3" s="1">
        <v>4.0</v>
      </c>
      <c r="O3" s="1" t="s">
        <v>23</v>
      </c>
      <c r="P3" s="1">
        <f t="shared" si="1"/>
        <v>1</v>
      </c>
      <c r="Q3" s="3">
        <f t="shared" si="2"/>
        <v>100</v>
      </c>
    </row>
    <row r="4" ht="15.75" customHeight="1">
      <c r="A4" s="1" t="s">
        <v>526</v>
      </c>
      <c r="B4" s="11">
        <v>6.00407799E8</v>
      </c>
      <c r="C4" s="1" t="s">
        <v>105</v>
      </c>
      <c r="D4" s="1" t="s">
        <v>566</v>
      </c>
      <c r="E4" s="1">
        <v>9.0</v>
      </c>
      <c r="F4" s="1" t="s">
        <v>20</v>
      </c>
      <c r="G4" s="4" t="s">
        <v>21</v>
      </c>
      <c r="I4" s="1" t="s">
        <v>23</v>
      </c>
      <c r="J4" s="1" t="s">
        <v>23</v>
      </c>
      <c r="K4" s="1" t="s">
        <v>23</v>
      </c>
      <c r="L4" s="1"/>
      <c r="M4" s="1" t="s">
        <v>22</v>
      </c>
      <c r="N4" s="1">
        <v>10.0</v>
      </c>
      <c r="O4" s="1" t="s">
        <v>23</v>
      </c>
      <c r="P4" s="1">
        <f t="shared" si="1"/>
        <v>1</v>
      </c>
      <c r="Q4" s="3">
        <f t="shared" si="2"/>
        <v>100</v>
      </c>
    </row>
    <row r="5" ht="15.75" customHeight="1">
      <c r="A5" s="1" t="s">
        <v>526</v>
      </c>
      <c r="B5" s="11">
        <v>6.00407872E8</v>
      </c>
      <c r="C5" s="1" t="s">
        <v>567</v>
      </c>
      <c r="D5" s="1" t="s">
        <v>568</v>
      </c>
      <c r="E5" s="1">
        <v>9.0</v>
      </c>
      <c r="F5" s="1" t="s">
        <v>55</v>
      </c>
      <c r="G5" s="4" t="s">
        <v>33</v>
      </c>
      <c r="I5" s="1" t="s">
        <v>22</v>
      </c>
      <c r="J5" s="1" t="s">
        <v>23</v>
      </c>
      <c r="K5" s="1" t="s">
        <v>23</v>
      </c>
      <c r="L5" s="1"/>
      <c r="M5" s="1" t="s">
        <v>22</v>
      </c>
      <c r="N5" s="1">
        <v>0.0</v>
      </c>
      <c r="O5" s="1" t="s">
        <v>22</v>
      </c>
      <c r="P5" s="1">
        <f t="shared" si="1"/>
        <v>3</v>
      </c>
      <c r="Q5" s="3">
        <f t="shared" si="2"/>
        <v>300</v>
      </c>
    </row>
    <row r="6" ht="15.75" customHeight="1">
      <c r="A6" s="1" t="s">
        <v>526</v>
      </c>
      <c r="B6" s="11">
        <v>6.00405114E8</v>
      </c>
      <c r="C6" s="1" t="s">
        <v>569</v>
      </c>
      <c r="D6" s="1" t="s">
        <v>570</v>
      </c>
      <c r="E6" s="1">
        <v>9.0</v>
      </c>
      <c r="F6" s="1" t="s">
        <v>20</v>
      </c>
      <c r="G6" s="4" t="s">
        <v>33</v>
      </c>
      <c r="I6" s="1" t="s">
        <v>22</v>
      </c>
      <c r="J6" s="1" t="s">
        <v>23</v>
      </c>
      <c r="K6" s="1" t="s">
        <v>22</v>
      </c>
      <c r="L6" s="1">
        <v>3.0</v>
      </c>
      <c r="M6" s="1" t="s">
        <v>23</v>
      </c>
      <c r="N6" s="1">
        <v>1.0</v>
      </c>
      <c r="O6" s="1" t="s">
        <v>22</v>
      </c>
      <c r="P6" s="1">
        <f t="shared" si="1"/>
        <v>3</v>
      </c>
      <c r="Q6" s="3">
        <f t="shared" si="2"/>
        <v>300</v>
      </c>
    </row>
    <row r="7" ht="15.75" customHeight="1">
      <c r="A7" s="1" t="s">
        <v>526</v>
      </c>
      <c r="B7" s="11">
        <v>6.00406328E8</v>
      </c>
      <c r="C7" s="1" t="s">
        <v>571</v>
      </c>
      <c r="D7" s="1" t="s">
        <v>572</v>
      </c>
      <c r="E7" s="1">
        <v>10.0</v>
      </c>
      <c r="F7" s="1" t="s">
        <v>20</v>
      </c>
      <c r="G7" s="4" t="s">
        <v>33</v>
      </c>
      <c r="I7" s="1" t="s">
        <v>22</v>
      </c>
      <c r="J7" s="1" t="s">
        <v>23</v>
      </c>
      <c r="K7" s="1" t="s">
        <v>22</v>
      </c>
      <c r="L7" s="1">
        <v>2.0</v>
      </c>
      <c r="M7" s="1" t="s">
        <v>22</v>
      </c>
      <c r="N7" s="1">
        <v>3.0</v>
      </c>
      <c r="O7" s="1" t="s">
        <v>22</v>
      </c>
      <c r="P7" s="1">
        <v>3.0</v>
      </c>
      <c r="Q7" s="3">
        <f t="shared" si="2"/>
        <v>300</v>
      </c>
    </row>
    <row r="8" ht="15.75" customHeight="1">
      <c r="A8" s="1" t="s">
        <v>526</v>
      </c>
      <c r="B8" s="11">
        <v>6.00412929E8</v>
      </c>
      <c r="C8" s="1" t="s">
        <v>573</v>
      </c>
      <c r="D8" s="1" t="s">
        <v>574</v>
      </c>
      <c r="E8" s="1">
        <v>10.0</v>
      </c>
      <c r="F8" s="1" t="s">
        <v>55</v>
      </c>
      <c r="G8" s="4" t="s">
        <v>21</v>
      </c>
      <c r="I8" s="1" t="s">
        <v>23</v>
      </c>
      <c r="J8" s="1" t="s">
        <v>23</v>
      </c>
      <c r="K8" s="1" t="s">
        <v>22</v>
      </c>
      <c r="L8" s="1"/>
      <c r="M8" s="1" t="s">
        <v>22</v>
      </c>
      <c r="N8" s="1">
        <v>0.0</v>
      </c>
      <c r="O8" s="1" t="s">
        <v>22</v>
      </c>
      <c r="P8" s="1">
        <v>3.0</v>
      </c>
      <c r="Q8" s="3">
        <f t="shared" si="2"/>
        <v>300</v>
      </c>
    </row>
    <row r="9" ht="15.75" customHeight="1">
      <c r="A9" s="1" t="s">
        <v>526</v>
      </c>
      <c r="B9" s="11">
        <v>6.00406329E8</v>
      </c>
      <c r="C9" s="1" t="s">
        <v>255</v>
      </c>
      <c r="D9" s="1" t="s">
        <v>575</v>
      </c>
      <c r="E9" s="1">
        <v>9.0</v>
      </c>
      <c r="F9" s="1" t="s">
        <v>20</v>
      </c>
      <c r="G9" s="4" t="s">
        <v>21</v>
      </c>
      <c r="I9" s="1" t="s">
        <v>23</v>
      </c>
      <c r="J9" s="1" t="s">
        <v>23</v>
      </c>
      <c r="K9" s="1" t="s">
        <v>22</v>
      </c>
      <c r="L9" s="1"/>
      <c r="M9" s="1" t="s">
        <v>22</v>
      </c>
      <c r="N9" s="1">
        <v>5.0</v>
      </c>
      <c r="O9" s="1" t="s">
        <v>23</v>
      </c>
      <c r="P9" s="1">
        <v>3.0</v>
      </c>
      <c r="Q9" s="3">
        <f t="shared" si="2"/>
        <v>300</v>
      </c>
    </row>
    <row r="10" ht="15.75" customHeight="1">
      <c r="A10" s="1" t="s">
        <v>526</v>
      </c>
      <c r="B10" s="11">
        <v>6.00411871E8</v>
      </c>
      <c r="C10" s="1" t="s">
        <v>43</v>
      </c>
      <c r="D10" s="1" t="s">
        <v>576</v>
      </c>
      <c r="E10" s="1">
        <v>9.0</v>
      </c>
      <c r="F10" s="1" t="s">
        <v>42</v>
      </c>
      <c r="G10" s="4" t="s">
        <v>33</v>
      </c>
      <c r="I10" s="1" t="s">
        <v>23</v>
      </c>
      <c r="J10" s="1" t="s">
        <v>23</v>
      </c>
      <c r="K10" s="1" t="s">
        <v>23</v>
      </c>
      <c r="L10" s="1">
        <v>1.0</v>
      </c>
      <c r="M10" s="1" t="s">
        <v>22</v>
      </c>
      <c r="N10" s="1">
        <v>5.0</v>
      </c>
      <c r="O10" s="1" t="s">
        <v>23</v>
      </c>
      <c r="P10" s="1">
        <f t="shared" ref="P10:P17" si="3">COUNTIF(I10:O10, "✔️")</f>
        <v>1</v>
      </c>
      <c r="Q10" s="3">
        <f t="shared" si="2"/>
        <v>100</v>
      </c>
    </row>
    <row r="11" ht="15.75" customHeight="1">
      <c r="A11" s="1" t="s">
        <v>526</v>
      </c>
      <c r="B11" s="11">
        <v>6.00411705E8</v>
      </c>
      <c r="C11" s="1" t="s">
        <v>43</v>
      </c>
      <c r="D11" s="1" t="s">
        <v>577</v>
      </c>
      <c r="E11" s="1">
        <v>9.0</v>
      </c>
      <c r="F11" s="1" t="s">
        <v>20</v>
      </c>
      <c r="G11" s="4" t="s">
        <v>33</v>
      </c>
      <c r="I11" s="1" t="s">
        <v>22</v>
      </c>
      <c r="J11" s="1" t="s">
        <v>23</v>
      </c>
      <c r="K11" s="1" t="s">
        <v>22</v>
      </c>
      <c r="L11" s="1">
        <v>2.0</v>
      </c>
      <c r="M11" s="1" t="s">
        <v>22</v>
      </c>
      <c r="N11" s="1">
        <v>8.0</v>
      </c>
      <c r="O11" s="1" t="s">
        <v>23</v>
      </c>
      <c r="P11" s="1">
        <f t="shared" si="3"/>
        <v>3</v>
      </c>
      <c r="Q11" s="3">
        <f t="shared" si="2"/>
        <v>300</v>
      </c>
    </row>
    <row r="12" ht="15.75" customHeight="1">
      <c r="A12" s="1" t="s">
        <v>526</v>
      </c>
      <c r="B12" s="11">
        <v>6.00408039E8</v>
      </c>
      <c r="C12" s="1" t="s">
        <v>297</v>
      </c>
      <c r="D12" s="1" t="s">
        <v>578</v>
      </c>
      <c r="E12" s="1">
        <v>9.0</v>
      </c>
      <c r="F12" s="1" t="s">
        <v>20</v>
      </c>
      <c r="G12" s="4" t="s">
        <v>21</v>
      </c>
      <c r="I12" s="1" t="s">
        <v>22</v>
      </c>
      <c r="J12" s="1" t="s">
        <v>23</v>
      </c>
      <c r="K12" s="1" t="s">
        <v>23</v>
      </c>
      <c r="L12" s="1"/>
      <c r="M12" s="1" t="s">
        <v>22</v>
      </c>
      <c r="N12" s="1">
        <v>3.0</v>
      </c>
      <c r="O12" s="1" t="s">
        <v>22</v>
      </c>
      <c r="P12" s="1">
        <f t="shared" si="3"/>
        <v>3</v>
      </c>
      <c r="Q12" s="3">
        <f t="shared" si="2"/>
        <v>300</v>
      </c>
    </row>
    <row r="13" ht="15.75" customHeight="1">
      <c r="A13" s="1" t="s">
        <v>526</v>
      </c>
      <c r="B13" s="11">
        <v>6.00410184E8</v>
      </c>
      <c r="C13" s="1" t="s">
        <v>579</v>
      </c>
      <c r="D13" s="1" t="s">
        <v>285</v>
      </c>
      <c r="E13" s="1">
        <v>9.0</v>
      </c>
      <c r="F13" s="1" t="s">
        <v>20</v>
      </c>
      <c r="G13" s="4" t="s">
        <v>33</v>
      </c>
      <c r="I13" s="1" t="s">
        <v>22</v>
      </c>
      <c r="J13" s="1" t="s">
        <v>23</v>
      </c>
      <c r="K13" s="1" t="s">
        <v>23</v>
      </c>
      <c r="L13" s="1">
        <v>4.0</v>
      </c>
      <c r="M13" s="1" t="s">
        <v>23</v>
      </c>
      <c r="N13" s="1">
        <v>1.0</v>
      </c>
      <c r="O13" s="1" t="s">
        <v>22</v>
      </c>
      <c r="P13" s="1">
        <f t="shared" si="3"/>
        <v>2</v>
      </c>
      <c r="Q13" s="3">
        <f t="shared" si="2"/>
        <v>200</v>
      </c>
    </row>
    <row r="14" ht="15.75" customHeight="1">
      <c r="A14" s="1" t="s">
        <v>526</v>
      </c>
      <c r="B14" s="11">
        <v>6.0040747E8</v>
      </c>
      <c r="C14" s="1" t="s">
        <v>580</v>
      </c>
      <c r="D14" s="1" t="s">
        <v>581</v>
      </c>
      <c r="E14" s="1">
        <v>9.0</v>
      </c>
      <c r="F14" s="1" t="s">
        <v>20</v>
      </c>
      <c r="G14" s="4" t="s">
        <v>33</v>
      </c>
      <c r="I14" s="1" t="s">
        <v>23</v>
      </c>
      <c r="J14" s="1" t="s">
        <v>23</v>
      </c>
      <c r="K14" s="1" t="s">
        <v>22</v>
      </c>
      <c r="L14" s="1">
        <v>2.0</v>
      </c>
      <c r="M14" s="1" t="s">
        <v>22</v>
      </c>
      <c r="N14" s="1">
        <v>6.0</v>
      </c>
      <c r="O14" s="1" t="s">
        <v>23</v>
      </c>
      <c r="P14" s="1">
        <f t="shared" si="3"/>
        <v>2</v>
      </c>
      <c r="Q14" s="3">
        <f t="shared" si="2"/>
        <v>200</v>
      </c>
    </row>
    <row r="15" ht="15.75" customHeight="1">
      <c r="A15" s="1" t="s">
        <v>526</v>
      </c>
      <c r="B15" s="11">
        <v>6.00410065E8</v>
      </c>
      <c r="C15" s="1" t="s">
        <v>582</v>
      </c>
      <c r="D15" s="1" t="s">
        <v>583</v>
      </c>
      <c r="E15" s="1">
        <v>9.0</v>
      </c>
      <c r="F15" s="1" t="s">
        <v>55</v>
      </c>
      <c r="G15" s="4" t="s">
        <v>21</v>
      </c>
      <c r="I15" s="1" t="s">
        <v>22</v>
      </c>
      <c r="J15" s="1" t="s">
        <v>23</v>
      </c>
      <c r="K15" s="1" t="s">
        <v>23</v>
      </c>
      <c r="L15" s="1"/>
      <c r="M15" s="1" t="s">
        <v>23</v>
      </c>
      <c r="N15" s="1">
        <v>12.0</v>
      </c>
      <c r="O15" s="1" t="s">
        <v>23</v>
      </c>
      <c r="P15" s="1">
        <f t="shared" si="3"/>
        <v>1</v>
      </c>
      <c r="Q15" s="3">
        <f t="shared" si="2"/>
        <v>100</v>
      </c>
    </row>
    <row r="16" ht="15.75" customHeight="1">
      <c r="A16" s="1" t="s">
        <v>526</v>
      </c>
      <c r="B16" s="11">
        <v>6.00407466E8</v>
      </c>
      <c r="C16" s="1" t="s">
        <v>449</v>
      </c>
      <c r="D16" s="1" t="s">
        <v>584</v>
      </c>
      <c r="E16" s="1">
        <v>9.0</v>
      </c>
      <c r="F16" s="1" t="s">
        <v>20</v>
      </c>
      <c r="G16" s="4" t="s">
        <v>33</v>
      </c>
      <c r="I16" s="1" t="s">
        <v>22</v>
      </c>
      <c r="J16" s="1" t="s">
        <v>23</v>
      </c>
      <c r="K16" s="1" t="s">
        <v>22</v>
      </c>
      <c r="L16" s="1">
        <v>1.0</v>
      </c>
      <c r="M16" s="1" t="s">
        <v>22</v>
      </c>
      <c r="N16" s="1">
        <v>5.0</v>
      </c>
      <c r="O16" s="1" t="s">
        <v>23</v>
      </c>
      <c r="P16" s="1">
        <f t="shared" si="3"/>
        <v>3</v>
      </c>
      <c r="Q16" s="3">
        <f t="shared" si="2"/>
        <v>300</v>
      </c>
    </row>
    <row r="17" ht="15.75" customHeight="1">
      <c r="A17" s="1" t="s">
        <v>526</v>
      </c>
      <c r="B17" s="11">
        <v>6.0041064E8</v>
      </c>
      <c r="C17" s="1" t="s">
        <v>585</v>
      </c>
      <c r="D17" s="1" t="s">
        <v>586</v>
      </c>
      <c r="E17" s="1">
        <v>9.0</v>
      </c>
      <c r="F17" s="1" t="s">
        <v>20</v>
      </c>
      <c r="G17" s="4" t="s">
        <v>33</v>
      </c>
      <c r="I17" s="1" t="s">
        <v>22</v>
      </c>
      <c r="J17" s="1" t="s">
        <v>23</v>
      </c>
      <c r="K17" s="1" t="s">
        <v>23</v>
      </c>
      <c r="L17" s="1"/>
      <c r="M17" s="1" t="s">
        <v>23</v>
      </c>
      <c r="N17" s="1">
        <v>2.0</v>
      </c>
      <c r="O17" s="1" t="s">
        <v>22</v>
      </c>
      <c r="P17" s="1">
        <f t="shared" si="3"/>
        <v>2</v>
      </c>
      <c r="Q17" s="3">
        <f t="shared" si="2"/>
        <v>200</v>
      </c>
    </row>
    <row r="18" ht="15.75" customHeight="1">
      <c r="A18" s="1" t="s">
        <v>526</v>
      </c>
      <c r="B18" s="11">
        <v>6.00407919E8</v>
      </c>
      <c r="C18" s="1" t="s">
        <v>270</v>
      </c>
      <c r="D18" s="1" t="s">
        <v>587</v>
      </c>
      <c r="E18" s="1">
        <v>9.0</v>
      </c>
      <c r="F18" s="1" t="s">
        <v>20</v>
      </c>
      <c r="G18" s="4" t="s">
        <v>33</v>
      </c>
      <c r="I18" s="1" t="s">
        <v>22</v>
      </c>
      <c r="J18" s="1" t="s">
        <v>23</v>
      </c>
      <c r="K18" s="1" t="s">
        <v>22</v>
      </c>
      <c r="L18" s="1"/>
      <c r="M18" s="1" t="s">
        <v>22</v>
      </c>
      <c r="N18" s="1">
        <v>3.0</v>
      </c>
      <c r="O18" s="1" t="s">
        <v>22</v>
      </c>
      <c r="P18" s="1">
        <v>3.0</v>
      </c>
      <c r="Q18" s="3">
        <f t="shared" si="2"/>
        <v>300</v>
      </c>
    </row>
    <row r="19" ht="15.75" customHeight="1">
      <c r="A19" s="1" t="s">
        <v>526</v>
      </c>
      <c r="B19" s="11">
        <v>6.0040487E8</v>
      </c>
      <c r="C19" s="1" t="s">
        <v>588</v>
      </c>
      <c r="D19" s="1" t="s">
        <v>589</v>
      </c>
      <c r="E19" s="1">
        <v>10.0</v>
      </c>
      <c r="F19" s="1" t="s">
        <v>20</v>
      </c>
      <c r="G19" s="4" t="s">
        <v>33</v>
      </c>
      <c r="I19" s="1" t="s">
        <v>22</v>
      </c>
      <c r="J19" s="1" t="s">
        <v>23</v>
      </c>
      <c r="K19" s="1" t="s">
        <v>22</v>
      </c>
      <c r="L19" s="1"/>
      <c r="M19" s="1" t="s">
        <v>22</v>
      </c>
      <c r="N19" s="1">
        <v>2.0</v>
      </c>
      <c r="O19" s="1" t="s">
        <v>22</v>
      </c>
      <c r="P19" s="1">
        <v>3.0</v>
      </c>
      <c r="Q19" s="3">
        <f t="shared" si="2"/>
        <v>300</v>
      </c>
    </row>
    <row r="20" ht="15.75" customHeight="1">
      <c r="A20" s="1" t="s">
        <v>526</v>
      </c>
      <c r="B20" s="11">
        <v>6.00405112E8</v>
      </c>
      <c r="C20" s="1" t="s">
        <v>312</v>
      </c>
      <c r="D20" s="1" t="s">
        <v>19</v>
      </c>
      <c r="E20" s="1">
        <v>9.0</v>
      </c>
      <c r="F20" s="1" t="s">
        <v>20</v>
      </c>
      <c r="G20" s="4" t="s">
        <v>33</v>
      </c>
      <c r="I20" s="1" t="s">
        <v>22</v>
      </c>
      <c r="J20" s="1" t="s">
        <v>23</v>
      </c>
      <c r="K20" s="1" t="s">
        <v>23</v>
      </c>
      <c r="L20" s="1">
        <v>2.0</v>
      </c>
      <c r="M20" s="1" t="s">
        <v>22</v>
      </c>
      <c r="N20" s="1">
        <v>6.0</v>
      </c>
      <c r="O20" s="1" t="s">
        <v>23</v>
      </c>
      <c r="P20" s="1">
        <f t="shared" ref="P20:P21" si="4">COUNTIF(I20:O20, "✔️")</f>
        <v>2</v>
      </c>
      <c r="Q20" s="3">
        <f t="shared" si="2"/>
        <v>200</v>
      </c>
    </row>
    <row r="21" ht="15.75" customHeight="1">
      <c r="A21" s="1" t="s">
        <v>526</v>
      </c>
      <c r="B21" s="11">
        <v>6.0040752E8</v>
      </c>
      <c r="C21" s="1" t="s">
        <v>60</v>
      </c>
      <c r="D21" s="1" t="s">
        <v>590</v>
      </c>
      <c r="E21" s="1">
        <v>9.0</v>
      </c>
      <c r="F21" s="1" t="s">
        <v>20</v>
      </c>
      <c r="G21" s="4" t="s">
        <v>21</v>
      </c>
      <c r="I21" s="1" t="s">
        <v>22</v>
      </c>
      <c r="J21" s="1" t="s">
        <v>23</v>
      </c>
      <c r="K21" s="1" t="s">
        <v>23</v>
      </c>
      <c r="L21" s="1">
        <v>2.0</v>
      </c>
      <c r="M21" s="1" t="s">
        <v>22</v>
      </c>
      <c r="N21" s="1">
        <v>9.0</v>
      </c>
      <c r="O21" s="1" t="s">
        <v>23</v>
      </c>
      <c r="P21" s="1">
        <f t="shared" si="4"/>
        <v>2</v>
      </c>
      <c r="Q21" s="3">
        <f t="shared" si="2"/>
        <v>200</v>
      </c>
    </row>
    <row r="22" ht="15.75" customHeight="1">
      <c r="A22" s="1" t="s">
        <v>526</v>
      </c>
      <c r="B22" s="11">
        <v>6.00407643E8</v>
      </c>
      <c r="C22" s="1" t="s">
        <v>591</v>
      </c>
      <c r="D22" s="1" t="s">
        <v>592</v>
      </c>
      <c r="E22" s="1">
        <v>9.0</v>
      </c>
      <c r="F22" s="1" t="s">
        <v>55</v>
      </c>
      <c r="G22" s="4" t="s">
        <v>33</v>
      </c>
      <c r="I22" s="1" t="s">
        <v>22</v>
      </c>
      <c r="J22" s="1" t="s">
        <v>23</v>
      </c>
      <c r="K22" s="1" t="s">
        <v>22</v>
      </c>
      <c r="L22" s="1"/>
      <c r="M22" s="1" t="s">
        <v>22</v>
      </c>
      <c r="N22" s="1">
        <v>1.0</v>
      </c>
      <c r="O22" s="1" t="s">
        <v>22</v>
      </c>
      <c r="P22" s="1">
        <v>3.0</v>
      </c>
      <c r="Q22" s="3">
        <f t="shared" si="2"/>
        <v>300</v>
      </c>
    </row>
    <row r="23" ht="15.75" customHeight="1">
      <c r="A23" s="1" t="s">
        <v>526</v>
      </c>
      <c r="B23" s="11">
        <v>6.00407208E8</v>
      </c>
      <c r="C23" s="1" t="s">
        <v>131</v>
      </c>
      <c r="D23" s="1" t="s">
        <v>593</v>
      </c>
      <c r="E23" s="1">
        <v>9.0</v>
      </c>
      <c r="F23" s="1" t="s">
        <v>20</v>
      </c>
      <c r="G23" s="4" t="s">
        <v>33</v>
      </c>
      <c r="I23" s="1" t="s">
        <v>22</v>
      </c>
      <c r="J23" s="1" t="s">
        <v>23</v>
      </c>
      <c r="K23" s="1" t="s">
        <v>22</v>
      </c>
      <c r="L23" s="1"/>
      <c r="M23" s="1" t="s">
        <v>22</v>
      </c>
      <c r="N23" s="1">
        <v>1.0</v>
      </c>
      <c r="O23" s="1" t="s">
        <v>22</v>
      </c>
      <c r="P23" s="1">
        <v>3.0</v>
      </c>
      <c r="Q23" s="3">
        <f t="shared" si="2"/>
        <v>300</v>
      </c>
    </row>
    <row r="24" ht="15.75" customHeight="1">
      <c r="A24" s="1" t="s">
        <v>526</v>
      </c>
      <c r="B24" s="11">
        <v>6.00408765E8</v>
      </c>
      <c r="C24" s="1" t="s">
        <v>97</v>
      </c>
      <c r="D24" s="1" t="s">
        <v>594</v>
      </c>
      <c r="E24" s="1">
        <v>9.0</v>
      </c>
      <c r="F24" s="1" t="s">
        <v>20</v>
      </c>
      <c r="G24" s="4" t="s">
        <v>21</v>
      </c>
      <c r="I24" s="1" t="s">
        <v>22</v>
      </c>
      <c r="J24" s="1" t="s">
        <v>23</v>
      </c>
      <c r="K24" s="1" t="s">
        <v>22</v>
      </c>
      <c r="L24" s="1"/>
      <c r="M24" s="1" t="s">
        <v>22</v>
      </c>
      <c r="N24" s="1">
        <v>6.0</v>
      </c>
      <c r="O24" s="1" t="s">
        <v>23</v>
      </c>
      <c r="P24" s="1">
        <f t="shared" ref="P24:P29" si="5">COUNTIF(I24:O24, "✔️")</f>
        <v>3</v>
      </c>
      <c r="Q24" s="3">
        <f t="shared" si="2"/>
        <v>300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5"/>
        <v>0</v>
      </c>
      <c r="Q25" s="3">
        <f t="shared" si="2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5"/>
        <v>0</v>
      </c>
      <c r="Q26" s="3">
        <f t="shared" si="2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5"/>
        <v>0</v>
      </c>
      <c r="Q27" s="3">
        <f t="shared" si="2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5"/>
        <v>0</v>
      </c>
      <c r="Q28" s="3">
        <f t="shared" si="2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5"/>
        <v>0</v>
      </c>
      <c r="Q29" s="3">
        <f t="shared" si="2"/>
        <v>0</v>
      </c>
    </row>
    <row r="30" ht="15.75" customHeight="1">
      <c r="I30" s="1">
        <f t="shared" ref="I30:K30" si="6">COUNTIF(I2:I29, "✔️")</f>
        <v>17</v>
      </c>
      <c r="J30" s="1">
        <f t="shared" si="6"/>
        <v>0</v>
      </c>
      <c r="K30" s="1">
        <f t="shared" si="6"/>
        <v>14</v>
      </c>
      <c r="L30" s="1"/>
      <c r="M30" s="1">
        <f>COUNTIF(M2:M29, "✔️")</f>
        <v>18</v>
      </c>
      <c r="N30" s="1"/>
      <c r="O30" s="1">
        <f>COUNTIF(O2:O29, "✔️")</f>
        <v>11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29">
    <cfRule type="notContainsBlanks" dxfId="0" priority="1">
      <formula>LEN(TRIM(I2))&gt;0</formula>
    </cfRule>
  </conditionalFormatting>
  <conditionalFormatting sqref="Q2:Q29">
    <cfRule type="notContainsBlanks" dxfId="0" priority="2">
      <formula>LEN(TRIM(Q2))&gt;0</formula>
    </cfRule>
  </conditionalFormatting>
  <dataValidations>
    <dataValidation type="list" allowBlank="1" showErrorMessage="1" sqref="I2:K29 M2:M29 O2:O29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526</v>
      </c>
      <c r="B2" s="4">
        <v>6.00405562E8</v>
      </c>
      <c r="C2" s="1" t="s">
        <v>595</v>
      </c>
      <c r="D2" s="1" t="s">
        <v>117</v>
      </c>
      <c r="E2" s="1">
        <v>10.0</v>
      </c>
      <c r="F2" s="8" t="s">
        <v>596</v>
      </c>
      <c r="G2" s="4" t="s">
        <v>21</v>
      </c>
      <c r="I2" s="1" t="s">
        <v>23</v>
      </c>
      <c r="J2" s="1" t="s">
        <v>23</v>
      </c>
      <c r="K2" s="1" t="s">
        <v>23</v>
      </c>
      <c r="L2" s="1">
        <v>0.0</v>
      </c>
      <c r="M2" s="1" t="s">
        <v>22</v>
      </c>
      <c r="N2" s="1">
        <v>10.0</v>
      </c>
      <c r="O2" s="1" t="s">
        <v>23</v>
      </c>
      <c r="P2" s="1">
        <f t="shared" ref="P2:P5" si="1">COUNTIF(I2:O2, "✔️")</f>
        <v>1</v>
      </c>
      <c r="Q2" s="3">
        <f t="shared" ref="Q2:Q32" si="2">IF(P2=1, 100, IF(P2=2, 200, IF(P2=3, 300, 0)))</f>
        <v>100</v>
      </c>
    </row>
    <row r="3" ht="15.75" customHeight="1">
      <c r="A3" s="1" t="s">
        <v>526</v>
      </c>
      <c r="B3" s="4">
        <v>6.00411363E8</v>
      </c>
      <c r="C3" s="1" t="s">
        <v>597</v>
      </c>
      <c r="D3" s="1" t="s">
        <v>166</v>
      </c>
      <c r="E3" s="1">
        <v>10.0</v>
      </c>
      <c r="F3" s="1" t="s">
        <v>20</v>
      </c>
      <c r="G3" s="4" t="s">
        <v>33</v>
      </c>
      <c r="I3" s="1" t="s">
        <v>22</v>
      </c>
      <c r="J3" s="1" t="s">
        <v>23</v>
      </c>
      <c r="K3" s="1" t="s">
        <v>22</v>
      </c>
      <c r="L3" s="1">
        <v>0.0</v>
      </c>
      <c r="M3" s="1" t="s">
        <v>22</v>
      </c>
      <c r="N3" s="1">
        <v>11.0</v>
      </c>
      <c r="O3" s="1" t="s">
        <v>23</v>
      </c>
      <c r="P3" s="1">
        <f t="shared" si="1"/>
        <v>3</v>
      </c>
      <c r="Q3" s="3">
        <f t="shared" si="2"/>
        <v>300</v>
      </c>
    </row>
    <row r="4" ht="15.75" customHeight="1">
      <c r="A4" s="1" t="s">
        <v>526</v>
      </c>
      <c r="B4" s="4">
        <v>6.00404972E8</v>
      </c>
      <c r="C4" s="1" t="s">
        <v>598</v>
      </c>
      <c r="D4" s="1" t="s">
        <v>599</v>
      </c>
      <c r="E4" s="1">
        <v>10.0</v>
      </c>
      <c r="F4" s="1" t="s">
        <v>55</v>
      </c>
      <c r="G4" s="4" t="s">
        <v>33</v>
      </c>
      <c r="I4" s="1" t="s">
        <v>22</v>
      </c>
      <c r="J4" s="1" t="s">
        <v>23</v>
      </c>
      <c r="K4" s="1" t="s">
        <v>22</v>
      </c>
      <c r="L4" s="1">
        <v>0.0</v>
      </c>
      <c r="M4" s="1" t="s">
        <v>22</v>
      </c>
      <c r="N4" s="1">
        <v>5.0</v>
      </c>
      <c r="O4" s="1" t="s">
        <v>23</v>
      </c>
      <c r="P4" s="1">
        <f t="shared" si="1"/>
        <v>3</v>
      </c>
      <c r="Q4" s="3">
        <f t="shared" si="2"/>
        <v>300</v>
      </c>
    </row>
    <row r="5" ht="15.75" customHeight="1">
      <c r="A5" s="1" t="s">
        <v>526</v>
      </c>
      <c r="B5" s="4">
        <v>6.00405544E8</v>
      </c>
      <c r="C5" s="1" t="s">
        <v>600</v>
      </c>
      <c r="D5" s="1" t="s">
        <v>601</v>
      </c>
      <c r="E5" s="1">
        <v>9.0</v>
      </c>
      <c r="F5" s="1" t="s">
        <v>55</v>
      </c>
      <c r="G5" s="4" t="s">
        <v>21</v>
      </c>
      <c r="I5" s="1" t="s">
        <v>23</v>
      </c>
      <c r="J5" s="1" t="s">
        <v>23</v>
      </c>
      <c r="K5" s="1" t="s">
        <v>23</v>
      </c>
      <c r="L5" s="1">
        <v>4.0</v>
      </c>
      <c r="M5" s="1" t="s">
        <v>23</v>
      </c>
      <c r="N5" s="1">
        <v>11.0</v>
      </c>
      <c r="O5" s="1" t="s">
        <v>23</v>
      </c>
      <c r="P5" s="1">
        <f t="shared" si="1"/>
        <v>0</v>
      </c>
      <c r="Q5" s="3">
        <f t="shared" si="2"/>
        <v>0</v>
      </c>
    </row>
    <row r="6" ht="15.75" customHeight="1">
      <c r="A6" s="1" t="s">
        <v>526</v>
      </c>
      <c r="B6" s="4">
        <v>6.00408026E8</v>
      </c>
      <c r="C6" s="1" t="s">
        <v>602</v>
      </c>
      <c r="D6" s="1" t="s">
        <v>213</v>
      </c>
      <c r="E6" s="1">
        <v>10.0</v>
      </c>
      <c r="F6" s="1" t="s">
        <v>20</v>
      </c>
      <c r="G6" s="4" t="s">
        <v>33</v>
      </c>
      <c r="I6" s="1" t="s">
        <v>23</v>
      </c>
      <c r="J6" s="1" t="s">
        <v>23</v>
      </c>
      <c r="K6" s="1" t="s">
        <v>23</v>
      </c>
      <c r="L6" s="1">
        <v>3.0</v>
      </c>
      <c r="M6" s="1" t="s">
        <v>23</v>
      </c>
      <c r="N6" s="1">
        <v>2.0</v>
      </c>
      <c r="O6" s="1" t="s">
        <v>22</v>
      </c>
      <c r="P6" s="1">
        <v>1.0</v>
      </c>
      <c r="Q6" s="3">
        <f t="shared" si="2"/>
        <v>100</v>
      </c>
    </row>
    <row r="7" ht="15.75" customHeight="1">
      <c r="A7" s="1" t="s">
        <v>526</v>
      </c>
      <c r="B7" s="4">
        <v>6.00408024E8</v>
      </c>
      <c r="C7" s="1" t="s">
        <v>602</v>
      </c>
      <c r="D7" s="1" t="s">
        <v>603</v>
      </c>
      <c r="E7" s="1">
        <v>10.0</v>
      </c>
      <c r="F7" s="1" t="s">
        <v>20</v>
      </c>
      <c r="G7" s="4" t="s">
        <v>33</v>
      </c>
      <c r="I7" s="1" t="s">
        <v>23</v>
      </c>
      <c r="J7" s="1" t="s">
        <v>23</v>
      </c>
      <c r="K7" s="1" t="s">
        <v>23</v>
      </c>
      <c r="L7" s="1">
        <v>0.0</v>
      </c>
      <c r="M7" s="1" t="s">
        <v>22</v>
      </c>
      <c r="N7" s="1">
        <v>1.0</v>
      </c>
      <c r="O7" s="1" t="s">
        <v>22</v>
      </c>
      <c r="P7" s="1">
        <f t="shared" ref="P7:P17" si="3">COUNTIF(I7:O7, "✔️")</f>
        <v>2</v>
      </c>
      <c r="Q7" s="3">
        <f t="shared" si="2"/>
        <v>200</v>
      </c>
    </row>
    <row r="8" ht="15.75" customHeight="1">
      <c r="A8" s="1" t="s">
        <v>526</v>
      </c>
      <c r="B8" s="4">
        <v>6.00408189E8</v>
      </c>
      <c r="C8" s="1" t="s">
        <v>604</v>
      </c>
      <c r="D8" s="1" t="s">
        <v>605</v>
      </c>
      <c r="E8" s="1">
        <v>10.0</v>
      </c>
      <c r="F8" s="1" t="s">
        <v>20</v>
      </c>
      <c r="G8" s="4" t="s">
        <v>33</v>
      </c>
      <c r="I8" s="1" t="s">
        <v>23</v>
      </c>
      <c r="J8" s="1" t="s">
        <v>23</v>
      </c>
      <c r="K8" s="1" t="s">
        <v>22</v>
      </c>
      <c r="L8" s="1">
        <v>0.0</v>
      </c>
      <c r="M8" s="1" t="s">
        <v>22</v>
      </c>
      <c r="N8" s="1">
        <v>9.0</v>
      </c>
      <c r="O8" s="1" t="s">
        <v>23</v>
      </c>
      <c r="P8" s="1">
        <f t="shared" si="3"/>
        <v>2</v>
      </c>
      <c r="Q8" s="3">
        <f t="shared" si="2"/>
        <v>200</v>
      </c>
    </row>
    <row r="9" ht="15.75" customHeight="1">
      <c r="A9" s="1" t="s">
        <v>526</v>
      </c>
      <c r="B9" s="4">
        <v>6.00407513E8</v>
      </c>
      <c r="C9" s="1" t="s">
        <v>80</v>
      </c>
      <c r="D9" s="1" t="s">
        <v>606</v>
      </c>
      <c r="E9" s="1">
        <v>9.0</v>
      </c>
      <c r="F9" s="1" t="s">
        <v>42</v>
      </c>
      <c r="G9" s="4" t="s">
        <v>33</v>
      </c>
      <c r="I9" s="1" t="s">
        <v>23</v>
      </c>
      <c r="J9" s="1" t="s">
        <v>23</v>
      </c>
      <c r="K9" s="1" t="s">
        <v>23</v>
      </c>
      <c r="L9" s="1">
        <v>2.0</v>
      </c>
      <c r="M9" s="1" t="s">
        <v>22</v>
      </c>
      <c r="N9" s="1">
        <v>2.0</v>
      </c>
      <c r="O9" s="1" t="s">
        <v>22</v>
      </c>
      <c r="P9" s="1">
        <f t="shared" si="3"/>
        <v>2</v>
      </c>
      <c r="Q9" s="3">
        <f t="shared" si="2"/>
        <v>200</v>
      </c>
    </row>
    <row r="10" ht="15.75" customHeight="1">
      <c r="A10" s="1" t="s">
        <v>526</v>
      </c>
      <c r="B10" s="4">
        <v>6.0040784E8</v>
      </c>
      <c r="C10" s="1" t="s">
        <v>607</v>
      </c>
      <c r="D10" s="1" t="s">
        <v>608</v>
      </c>
      <c r="E10" s="1">
        <v>10.0</v>
      </c>
      <c r="F10" s="1" t="s">
        <v>20</v>
      </c>
      <c r="G10" s="4" t="s">
        <v>21</v>
      </c>
      <c r="I10" s="1" t="s">
        <v>22</v>
      </c>
      <c r="J10" s="1" t="s">
        <v>23</v>
      </c>
      <c r="K10" s="1" t="s">
        <v>22</v>
      </c>
      <c r="L10" s="1">
        <v>0.0</v>
      </c>
      <c r="M10" s="1" t="s">
        <v>22</v>
      </c>
      <c r="N10" s="1">
        <v>5.0</v>
      </c>
      <c r="O10" s="1" t="s">
        <v>23</v>
      </c>
      <c r="P10" s="1">
        <f t="shared" si="3"/>
        <v>3</v>
      </c>
      <c r="Q10" s="3">
        <f t="shared" si="2"/>
        <v>300</v>
      </c>
    </row>
    <row r="11" ht="15.75" customHeight="1">
      <c r="A11" s="1" t="s">
        <v>526</v>
      </c>
      <c r="B11" s="4">
        <v>6.00410516E8</v>
      </c>
      <c r="C11" s="1" t="s">
        <v>609</v>
      </c>
      <c r="D11" s="1" t="s">
        <v>610</v>
      </c>
      <c r="E11" s="1">
        <v>10.0</v>
      </c>
      <c r="F11" s="1" t="s">
        <v>20</v>
      </c>
      <c r="G11" s="4" t="s">
        <v>21</v>
      </c>
      <c r="I11" s="1" t="s">
        <v>23</v>
      </c>
      <c r="J11" s="1" t="s">
        <v>23</v>
      </c>
      <c r="K11" s="1" t="s">
        <v>23</v>
      </c>
      <c r="L11" s="1" t="s">
        <v>611</v>
      </c>
      <c r="M11" s="1" t="s">
        <v>23</v>
      </c>
      <c r="N11" s="1">
        <v>6.0</v>
      </c>
      <c r="O11" s="1" t="s">
        <v>23</v>
      </c>
      <c r="P11" s="1">
        <f t="shared" si="3"/>
        <v>0</v>
      </c>
      <c r="Q11" s="3">
        <f t="shared" si="2"/>
        <v>0</v>
      </c>
    </row>
    <row r="12" ht="15.75" customHeight="1">
      <c r="A12" s="1" t="s">
        <v>526</v>
      </c>
      <c r="B12" s="4">
        <v>6.00406701E8</v>
      </c>
      <c r="C12" s="1" t="s">
        <v>120</v>
      </c>
      <c r="D12" s="1" t="s">
        <v>612</v>
      </c>
      <c r="E12" s="1">
        <v>10.0</v>
      </c>
      <c r="F12" s="1" t="s">
        <v>20</v>
      </c>
      <c r="G12" s="4" t="s">
        <v>33</v>
      </c>
      <c r="I12" s="1" t="s">
        <v>22</v>
      </c>
      <c r="J12" s="1" t="s">
        <v>23</v>
      </c>
      <c r="K12" s="1" t="s">
        <v>22</v>
      </c>
      <c r="L12" s="1" t="s">
        <v>611</v>
      </c>
      <c r="M12" s="1" t="s">
        <v>23</v>
      </c>
      <c r="N12" s="1">
        <v>3.0</v>
      </c>
      <c r="O12" s="1" t="s">
        <v>22</v>
      </c>
      <c r="P12" s="1">
        <f t="shared" si="3"/>
        <v>3</v>
      </c>
      <c r="Q12" s="3">
        <f t="shared" si="2"/>
        <v>300</v>
      </c>
    </row>
    <row r="13" ht="15.75" customHeight="1">
      <c r="A13" s="1" t="s">
        <v>526</v>
      </c>
      <c r="B13" s="4">
        <v>6.00406332E8</v>
      </c>
      <c r="C13" s="1" t="s">
        <v>88</v>
      </c>
      <c r="D13" s="1" t="s">
        <v>182</v>
      </c>
      <c r="E13" s="1">
        <v>9.0</v>
      </c>
      <c r="F13" s="1" t="s">
        <v>20</v>
      </c>
      <c r="G13" s="4" t="s">
        <v>21</v>
      </c>
      <c r="I13" s="1" t="s">
        <v>23</v>
      </c>
      <c r="J13" s="1" t="s">
        <v>23</v>
      </c>
      <c r="K13" s="1" t="s">
        <v>23</v>
      </c>
      <c r="L13" s="1">
        <v>1.0</v>
      </c>
      <c r="M13" s="1" t="s">
        <v>22</v>
      </c>
      <c r="N13" s="1">
        <v>1.0</v>
      </c>
      <c r="O13" s="1" t="s">
        <v>22</v>
      </c>
      <c r="P13" s="1">
        <f t="shared" si="3"/>
        <v>2</v>
      </c>
      <c r="Q13" s="3">
        <f t="shared" si="2"/>
        <v>200</v>
      </c>
    </row>
    <row r="14" ht="15.75" customHeight="1">
      <c r="A14" s="1" t="s">
        <v>526</v>
      </c>
      <c r="B14" s="4">
        <v>6.00407093E8</v>
      </c>
      <c r="C14" s="1" t="s">
        <v>613</v>
      </c>
      <c r="D14" s="1" t="s">
        <v>614</v>
      </c>
      <c r="E14" s="1">
        <v>9.0</v>
      </c>
      <c r="F14" s="1" t="s">
        <v>55</v>
      </c>
      <c r="G14" s="4" t="s">
        <v>21</v>
      </c>
      <c r="I14" s="1" t="s">
        <v>22</v>
      </c>
      <c r="J14" s="1" t="s">
        <v>23</v>
      </c>
      <c r="K14" s="1" t="s">
        <v>22</v>
      </c>
      <c r="L14" s="1">
        <v>1.0</v>
      </c>
      <c r="M14" s="1" t="s">
        <v>22</v>
      </c>
      <c r="N14" s="1">
        <v>4.0</v>
      </c>
      <c r="O14" s="1" t="s">
        <v>23</v>
      </c>
      <c r="P14" s="1">
        <f t="shared" si="3"/>
        <v>3</v>
      </c>
      <c r="Q14" s="3">
        <f t="shared" si="2"/>
        <v>300</v>
      </c>
    </row>
    <row r="15" ht="15.75" customHeight="1">
      <c r="A15" s="1" t="s">
        <v>526</v>
      </c>
      <c r="B15" s="4">
        <v>6.00407487E8</v>
      </c>
      <c r="C15" s="1" t="s">
        <v>615</v>
      </c>
      <c r="D15" s="1" t="s">
        <v>298</v>
      </c>
      <c r="E15" s="1">
        <v>10.0</v>
      </c>
      <c r="F15" s="1" t="s">
        <v>20</v>
      </c>
      <c r="G15" s="4" t="s">
        <v>33</v>
      </c>
      <c r="I15" s="1" t="s">
        <v>23</v>
      </c>
      <c r="J15" s="1" t="s">
        <v>23</v>
      </c>
      <c r="K15" s="1" t="s">
        <v>23</v>
      </c>
      <c r="L15" s="1">
        <v>0.0</v>
      </c>
      <c r="M15" s="1" t="s">
        <v>22</v>
      </c>
      <c r="N15" s="1">
        <v>9.0</v>
      </c>
      <c r="O15" s="1" t="s">
        <v>23</v>
      </c>
      <c r="P15" s="1">
        <f t="shared" si="3"/>
        <v>1</v>
      </c>
      <c r="Q15" s="3">
        <f t="shared" si="2"/>
        <v>100</v>
      </c>
    </row>
    <row r="16" ht="15.75" customHeight="1">
      <c r="A16" s="1" t="s">
        <v>526</v>
      </c>
      <c r="B16" s="4">
        <v>6.00410618E8</v>
      </c>
      <c r="C16" s="1" t="s">
        <v>451</v>
      </c>
      <c r="D16" s="1" t="s">
        <v>616</v>
      </c>
      <c r="E16" s="1">
        <v>10.0</v>
      </c>
      <c r="F16" s="1" t="s">
        <v>20</v>
      </c>
      <c r="G16" s="4" t="s">
        <v>21</v>
      </c>
      <c r="I16" s="1" t="s">
        <v>23</v>
      </c>
      <c r="J16" s="1" t="s">
        <v>23</v>
      </c>
      <c r="K16" s="1" t="s">
        <v>22</v>
      </c>
      <c r="L16" s="1">
        <v>0.0</v>
      </c>
      <c r="M16" s="1" t="s">
        <v>22</v>
      </c>
      <c r="N16" s="1">
        <v>11.0</v>
      </c>
      <c r="O16" s="1" t="s">
        <v>23</v>
      </c>
      <c r="P16" s="1">
        <f t="shared" si="3"/>
        <v>2</v>
      </c>
      <c r="Q16" s="3">
        <f t="shared" si="2"/>
        <v>200</v>
      </c>
    </row>
    <row r="17" ht="15.75" customHeight="1">
      <c r="A17" s="1" t="s">
        <v>526</v>
      </c>
      <c r="B17" s="4">
        <v>6.00408148E8</v>
      </c>
      <c r="C17" s="1" t="s">
        <v>90</v>
      </c>
      <c r="D17" s="1" t="s">
        <v>617</v>
      </c>
      <c r="E17" s="1">
        <v>9.0</v>
      </c>
      <c r="F17" s="1" t="s">
        <v>20</v>
      </c>
      <c r="G17" s="4" t="s">
        <v>21</v>
      </c>
      <c r="I17" s="1" t="s">
        <v>22</v>
      </c>
      <c r="J17" s="1" t="s">
        <v>23</v>
      </c>
      <c r="K17" s="1" t="s">
        <v>22</v>
      </c>
      <c r="L17" s="1">
        <v>0.0</v>
      </c>
      <c r="M17" s="1" t="s">
        <v>22</v>
      </c>
      <c r="N17" s="1">
        <v>7.0</v>
      </c>
      <c r="O17" s="1" t="s">
        <v>23</v>
      </c>
      <c r="P17" s="1">
        <f t="shared" si="3"/>
        <v>3</v>
      </c>
      <c r="Q17" s="3">
        <f t="shared" si="2"/>
        <v>300</v>
      </c>
    </row>
    <row r="18" ht="15.75" customHeight="1">
      <c r="A18" s="1" t="s">
        <v>526</v>
      </c>
      <c r="B18" s="4">
        <v>6.00403711E8</v>
      </c>
      <c r="C18" s="1" t="s">
        <v>270</v>
      </c>
      <c r="D18" s="1" t="s">
        <v>618</v>
      </c>
      <c r="E18" s="1">
        <v>10.0</v>
      </c>
      <c r="F18" s="1" t="s">
        <v>20</v>
      </c>
      <c r="G18" s="4"/>
      <c r="I18" s="1" t="s">
        <v>23</v>
      </c>
      <c r="J18" s="1" t="s">
        <v>23</v>
      </c>
      <c r="K18" s="1" t="s">
        <v>23</v>
      </c>
      <c r="L18" s="1">
        <v>4.0</v>
      </c>
      <c r="M18" s="1" t="s">
        <v>23</v>
      </c>
      <c r="N18" s="1">
        <v>3.0</v>
      </c>
      <c r="O18" s="1" t="s">
        <v>22</v>
      </c>
      <c r="P18" s="1">
        <v>3.0</v>
      </c>
      <c r="Q18" s="3">
        <f t="shared" si="2"/>
        <v>300</v>
      </c>
    </row>
    <row r="19" ht="15.75" customHeight="1">
      <c r="A19" s="1" t="s">
        <v>526</v>
      </c>
      <c r="B19" s="4">
        <v>6.00408219E8</v>
      </c>
      <c r="C19" s="1" t="s">
        <v>619</v>
      </c>
      <c r="D19" s="1" t="s">
        <v>620</v>
      </c>
      <c r="E19" s="1">
        <v>9.0</v>
      </c>
      <c r="F19" s="1" t="s">
        <v>20</v>
      </c>
      <c r="G19" s="4" t="s">
        <v>33</v>
      </c>
      <c r="I19" s="1" t="s">
        <v>23</v>
      </c>
      <c r="J19" s="1" t="s">
        <v>23</v>
      </c>
      <c r="K19" s="1" t="s">
        <v>23</v>
      </c>
      <c r="L19" s="1">
        <v>3.0</v>
      </c>
      <c r="M19" s="1" t="s">
        <v>23</v>
      </c>
      <c r="N19" s="1">
        <v>7.0</v>
      </c>
      <c r="O19" s="1" t="s">
        <v>23</v>
      </c>
      <c r="P19" s="1">
        <f t="shared" ref="P19:P20" si="4">COUNTIF(I19:O19, "✔️")</f>
        <v>0</v>
      </c>
      <c r="Q19" s="3">
        <f t="shared" si="2"/>
        <v>0</v>
      </c>
    </row>
    <row r="20" ht="15.75" customHeight="1">
      <c r="A20" s="1" t="s">
        <v>526</v>
      </c>
      <c r="B20" s="4">
        <v>6.00412693E8</v>
      </c>
      <c r="C20" s="1" t="s">
        <v>621</v>
      </c>
      <c r="D20" s="1" t="s">
        <v>622</v>
      </c>
      <c r="E20" s="1">
        <v>10.0</v>
      </c>
      <c r="F20" s="1" t="s">
        <v>55</v>
      </c>
      <c r="G20" s="4" t="s">
        <v>33</v>
      </c>
      <c r="I20" s="1" t="s">
        <v>23</v>
      </c>
      <c r="J20" s="1" t="s">
        <v>23</v>
      </c>
      <c r="K20" s="1" t="s">
        <v>23</v>
      </c>
      <c r="L20" s="1">
        <v>3.0</v>
      </c>
      <c r="M20" s="1" t="s">
        <v>23</v>
      </c>
      <c r="N20" s="1">
        <v>5.0</v>
      </c>
      <c r="O20" s="1" t="s">
        <v>23</v>
      </c>
      <c r="P20" s="1">
        <f t="shared" si="4"/>
        <v>0</v>
      </c>
      <c r="Q20" s="3">
        <f t="shared" si="2"/>
        <v>0</v>
      </c>
    </row>
    <row r="21" ht="15.75" customHeight="1">
      <c r="A21" s="1" t="s">
        <v>526</v>
      </c>
      <c r="B21" s="4">
        <v>6.00409613E8</v>
      </c>
      <c r="C21" s="1" t="s">
        <v>623</v>
      </c>
      <c r="D21" s="1" t="s">
        <v>624</v>
      </c>
      <c r="E21" s="1">
        <v>10.0</v>
      </c>
      <c r="F21" s="1" t="s">
        <v>20</v>
      </c>
      <c r="G21" s="4" t="s">
        <v>21</v>
      </c>
      <c r="I21" s="1" t="s">
        <v>22</v>
      </c>
      <c r="J21" s="1" t="s">
        <v>23</v>
      </c>
      <c r="K21" s="1" t="s">
        <v>22</v>
      </c>
      <c r="L21" s="1">
        <v>0.0</v>
      </c>
      <c r="M21" s="1" t="s">
        <v>22</v>
      </c>
      <c r="N21" s="1">
        <v>2.0</v>
      </c>
      <c r="O21" s="1" t="s">
        <v>22</v>
      </c>
      <c r="P21" s="1">
        <v>3.0</v>
      </c>
      <c r="Q21" s="3">
        <f t="shared" si="2"/>
        <v>300</v>
      </c>
    </row>
    <row r="22" ht="15.75" customHeight="1">
      <c r="A22" s="1" t="s">
        <v>526</v>
      </c>
      <c r="B22" s="4">
        <v>6.00406898E8</v>
      </c>
      <c r="C22" s="1" t="s">
        <v>131</v>
      </c>
      <c r="D22" s="1" t="s">
        <v>625</v>
      </c>
      <c r="E22" s="1">
        <v>9.0</v>
      </c>
      <c r="F22" s="1" t="s">
        <v>55</v>
      </c>
      <c r="G22" s="4" t="s">
        <v>33</v>
      </c>
      <c r="I22" s="1" t="s">
        <v>22</v>
      </c>
      <c r="J22" s="1" t="s">
        <v>23</v>
      </c>
      <c r="K22" s="1" t="s">
        <v>22</v>
      </c>
      <c r="L22" s="1">
        <v>2.0</v>
      </c>
      <c r="M22" s="1" t="s">
        <v>22</v>
      </c>
      <c r="N22" s="1">
        <v>3.0</v>
      </c>
      <c r="O22" s="1" t="s">
        <v>22</v>
      </c>
      <c r="P22" s="1">
        <v>3.0</v>
      </c>
      <c r="Q22" s="3">
        <f t="shared" si="2"/>
        <v>300</v>
      </c>
    </row>
    <row r="23" ht="15.75" customHeight="1">
      <c r="A23" s="1" t="s">
        <v>526</v>
      </c>
      <c r="B23" s="4">
        <v>6.00410103E8</v>
      </c>
      <c r="C23" s="1" t="s">
        <v>131</v>
      </c>
      <c r="D23" s="1" t="s">
        <v>566</v>
      </c>
      <c r="E23" s="1">
        <v>9.0</v>
      </c>
      <c r="F23" s="1" t="s">
        <v>20</v>
      </c>
      <c r="G23" s="4" t="s">
        <v>33</v>
      </c>
      <c r="I23" s="1" t="s">
        <v>22</v>
      </c>
      <c r="J23" s="1" t="s">
        <v>23</v>
      </c>
      <c r="K23" s="1" t="s">
        <v>22</v>
      </c>
      <c r="L23" s="1">
        <v>0.0</v>
      </c>
      <c r="M23" s="1" t="s">
        <v>22</v>
      </c>
      <c r="N23" s="1">
        <v>8.0</v>
      </c>
      <c r="O23" s="1" t="s">
        <v>23</v>
      </c>
      <c r="P23" s="1">
        <f t="shared" ref="P23:P26" si="5">COUNTIF(I23:O23, "✔️")</f>
        <v>3</v>
      </c>
      <c r="Q23" s="3">
        <f t="shared" si="2"/>
        <v>300</v>
      </c>
    </row>
    <row r="24" ht="15.75" customHeight="1">
      <c r="A24" s="1" t="s">
        <v>526</v>
      </c>
      <c r="B24" s="4">
        <v>6.00406871E8</v>
      </c>
      <c r="C24" s="1" t="s">
        <v>131</v>
      </c>
      <c r="D24" s="1" t="s">
        <v>626</v>
      </c>
      <c r="E24" s="1">
        <v>9.0</v>
      </c>
      <c r="F24" s="1" t="s">
        <v>20</v>
      </c>
      <c r="G24" s="4" t="s">
        <v>21</v>
      </c>
      <c r="I24" s="1" t="s">
        <v>23</v>
      </c>
      <c r="J24" s="1" t="s">
        <v>23</v>
      </c>
      <c r="K24" s="1" t="s">
        <v>23</v>
      </c>
      <c r="L24" s="1">
        <v>1.0</v>
      </c>
      <c r="M24" s="1" t="s">
        <v>22</v>
      </c>
      <c r="N24" s="1">
        <v>9.0</v>
      </c>
      <c r="O24" s="1" t="s">
        <v>23</v>
      </c>
      <c r="P24" s="1">
        <f t="shared" si="5"/>
        <v>1</v>
      </c>
      <c r="Q24" s="3">
        <f t="shared" si="2"/>
        <v>100</v>
      </c>
    </row>
    <row r="25" ht="15.75" customHeight="1">
      <c r="A25" s="1" t="s">
        <v>526</v>
      </c>
      <c r="B25" s="4">
        <v>6.00406891E8</v>
      </c>
      <c r="C25" s="1" t="s">
        <v>430</v>
      </c>
      <c r="D25" s="1" t="s">
        <v>627</v>
      </c>
      <c r="E25" s="1">
        <v>9.0</v>
      </c>
      <c r="F25" s="1" t="s">
        <v>20</v>
      </c>
      <c r="G25" s="4" t="s">
        <v>21</v>
      </c>
      <c r="I25" s="1" t="s">
        <v>22</v>
      </c>
      <c r="J25" s="1" t="s">
        <v>23</v>
      </c>
      <c r="K25" s="1" t="s">
        <v>22</v>
      </c>
      <c r="L25" s="1">
        <v>1.0</v>
      </c>
      <c r="M25" s="1" t="s">
        <v>22</v>
      </c>
      <c r="N25" s="1">
        <v>5.0</v>
      </c>
      <c r="O25" s="1" t="s">
        <v>23</v>
      </c>
      <c r="P25" s="1">
        <f t="shared" si="5"/>
        <v>3</v>
      </c>
      <c r="Q25" s="3">
        <f t="shared" si="2"/>
        <v>300</v>
      </c>
    </row>
    <row r="26" ht="15.75" customHeight="1">
      <c r="A26" s="1" t="s">
        <v>526</v>
      </c>
      <c r="B26" s="4">
        <v>6.00408037E8</v>
      </c>
      <c r="C26" s="1" t="s">
        <v>430</v>
      </c>
      <c r="D26" s="1" t="s">
        <v>491</v>
      </c>
      <c r="E26" s="1">
        <v>9.0</v>
      </c>
      <c r="F26" s="1" t="s">
        <v>20</v>
      </c>
      <c r="G26" s="4" t="s">
        <v>21</v>
      </c>
      <c r="I26" s="1" t="s">
        <v>22</v>
      </c>
      <c r="J26" s="1" t="s">
        <v>23</v>
      </c>
      <c r="K26" s="1" t="s">
        <v>22</v>
      </c>
      <c r="L26" s="1">
        <v>0.0</v>
      </c>
      <c r="M26" s="1" t="s">
        <v>22</v>
      </c>
      <c r="N26" s="1">
        <v>9.0</v>
      </c>
      <c r="O26" s="1" t="s">
        <v>23</v>
      </c>
      <c r="P26" s="1">
        <f t="shared" si="5"/>
        <v>3</v>
      </c>
      <c r="Q26" s="3">
        <f t="shared" si="2"/>
        <v>300</v>
      </c>
    </row>
    <row r="27" ht="15.75" customHeight="1">
      <c r="B27" s="4"/>
      <c r="G27" s="4" t="s">
        <v>21</v>
      </c>
      <c r="I27" s="1"/>
      <c r="J27" s="1"/>
      <c r="K27" s="1"/>
      <c r="L27" s="1"/>
      <c r="M27" s="1"/>
      <c r="N27" s="1"/>
      <c r="O27" s="1" t="s">
        <v>22</v>
      </c>
      <c r="P27" s="1">
        <v>0.0</v>
      </c>
      <c r="Q27" s="3">
        <f t="shared" si="2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ref="P28:P32" si="6">COUNTIF(I28:O28, "✔️")</f>
        <v>0</v>
      </c>
      <c r="Q28" s="3">
        <f t="shared" si="2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6"/>
        <v>0</v>
      </c>
      <c r="Q29" s="3">
        <f t="shared" si="2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6"/>
        <v>0</v>
      </c>
      <c r="Q30" s="3">
        <f t="shared" si="2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6"/>
        <v>0</v>
      </c>
      <c r="Q31" s="3">
        <f t="shared" si="2"/>
        <v>0</v>
      </c>
    </row>
    <row r="32" ht="15.75" customHeight="1">
      <c r="I32" s="1"/>
      <c r="J32" s="1"/>
      <c r="K32" s="1"/>
      <c r="L32" s="1"/>
      <c r="M32" s="1"/>
      <c r="N32" s="1"/>
      <c r="O32" s="1"/>
      <c r="P32" s="1">
        <f t="shared" si="6"/>
        <v>0</v>
      </c>
      <c r="Q32" s="3">
        <f t="shared" si="2"/>
        <v>0</v>
      </c>
    </row>
    <row r="33" ht="15.75" customHeight="1">
      <c r="I33" s="1">
        <f t="shared" ref="I33:K33" si="7">COUNTIF(I2:I32, "✔️")</f>
        <v>11</v>
      </c>
      <c r="J33" s="1">
        <f t="shared" si="7"/>
        <v>0</v>
      </c>
      <c r="K33" s="1">
        <f t="shared" si="7"/>
        <v>13</v>
      </c>
      <c r="L33" s="1"/>
      <c r="M33" s="1">
        <f>COUNTIF(M2:M32, "✔️")</f>
        <v>18</v>
      </c>
      <c r="N33" s="1"/>
      <c r="O33" s="1">
        <f>COUNTIF(O2:O32, "✔️")</f>
        <v>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2">
    <cfRule type="notContainsBlanks" dxfId="0" priority="1">
      <formula>LEN(TRIM(I2))&gt;0</formula>
    </cfRule>
  </conditionalFormatting>
  <conditionalFormatting sqref="Q2:Q32">
    <cfRule type="notContainsBlanks" dxfId="0" priority="2">
      <formula>LEN(TRIM(Q2))&gt;0</formula>
    </cfRule>
  </conditionalFormatting>
  <dataValidations>
    <dataValidation type="list" allowBlank="1" showErrorMessage="1" sqref="I2:K32 M2:M32 O2:O32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88"/>
    <col customWidth="1" min="3" max="3" width="17.5"/>
    <col customWidth="1" min="4" max="4" width="16.5"/>
    <col customWidth="1" min="5" max="5" width="4.0"/>
    <col customWidth="1" min="6" max="6" width="11.63"/>
    <col customWidth="1" min="7" max="7" width="6.5"/>
    <col customWidth="1" min="8" max="8" width="16.5"/>
    <col customWidth="1" min="16" max="1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17</v>
      </c>
      <c r="B2" s="4">
        <v>6.00412663E8</v>
      </c>
      <c r="C2" s="1" t="s">
        <v>628</v>
      </c>
      <c r="D2" s="1" t="s">
        <v>629</v>
      </c>
      <c r="E2" s="1">
        <v>5.0</v>
      </c>
      <c r="F2" s="1" t="s">
        <v>20</v>
      </c>
      <c r="G2" s="6" t="s">
        <v>33</v>
      </c>
      <c r="I2" s="1" t="s">
        <v>22</v>
      </c>
      <c r="J2" s="1" t="s">
        <v>22</v>
      </c>
      <c r="K2" s="1" t="s">
        <v>22</v>
      </c>
      <c r="L2" s="1">
        <v>0.0</v>
      </c>
      <c r="M2" s="1" t="s">
        <v>22</v>
      </c>
      <c r="N2" s="1">
        <v>17.0</v>
      </c>
      <c r="O2" s="1" t="s">
        <v>23</v>
      </c>
      <c r="P2" s="1">
        <v>3.0</v>
      </c>
      <c r="Q2" s="3">
        <f t="shared" ref="Q2:Q31" si="1">IF(P2=1, 100, IF(P2=2, 200, IF(P2=3, 300, 0)))</f>
        <v>300</v>
      </c>
    </row>
    <row r="3" ht="15.75" customHeight="1">
      <c r="A3" s="1" t="s">
        <v>17</v>
      </c>
      <c r="B3" s="4">
        <v>6.00412112E8</v>
      </c>
      <c r="C3" s="1" t="s">
        <v>630</v>
      </c>
      <c r="D3" s="1" t="s">
        <v>631</v>
      </c>
      <c r="E3" s="1">
        <v>7.0</v>
      </c>
      <c r="F3" s="1" t="s">
        <v>55</v>
      </c>
      <c r="G3" s="6" t="s">
        <v>33</v>
      </c>
      <c r="I3" s="1" t="s">
        <v>22</v>
      </c>
      <c r="J3" s="1" t="s">
        <v>22</v>
      </c>
      <c r="K3" s="1" t="s">
        <v>22</v>
      </c>
      <c r="L3" s="1">
        <v>0.0</v>
      </c>
      <c r="M3" s="1" t="s">
        <v>22</v>
      </c>
      <c r="N3" s="1">
        <v>5.0</v>
      </c>
      <c r="O3" s="1" t="s">
        <v>23</v>
      </c>
      <c r="P3" s="1">
        <v>3.0</v>
      </c>
      <c r="Q3" s="3">
        <f t="shared" si="1"/>
        <v>300</v>
      </c>
    </row>
    <row r="4" ht="15.75" customHeight="1">
      <c r="A4" s="1" t="s">
        <v>17</v>
      </c>
      <c r="B4" s="4">
        <v>6.00412695E8</v>
      </c>
      <c r="C4" s="1" t="s">
        <v>632</v>
      </c>
      <c r="D4" s="1" t="s">
        <v>305</v>
      </c>
      <c r="E4" s="1">
        <v>6.0</v>
      </c>
      <c r="F4" s="1" t="s">
        <v>20</v>
      </c>
      <c r="G4" s="6" t="s">
        <v>33</v>
      </c>
      <c r="I4" s="1" t="s">
        <v>22</v>
      </c>
      <c r="J4" s="1" t="s">
        <v>22</v>
      </c>
      <c r="K4" s="1" t="s">
        <v>23</v>
      </c>
      <c r="L4" s="1">
        <v>0.0</v>
      </c>
      <c r="M4" s="1" t="s">
        <v>22</v>
      </c>
      <c r="N4" s="1">
        <v>5.0</v>
      </c>
      <c r="O4" s="1" t="s">
        <v>23</v>
      </c>
      <c r="P4" s="1">
        <f>COUNTIF(I4:O4, "✔️")</f>
        <v>3</v>
      </c>
      <c r="Q4" s="3">
        <f t="shared" si="1"/>
        <v>300</v>
      </c>
    </row>
    <row r="5" ht="15.75" customHeight="1">
      <c r="A5" s="1" t="s">
        <v>17</v>
      </c>
      <c r="B5" s="4">
        <v>6.00412374E8</v>
      </c>
      <c r="C5" s="1" t="s">
        <v>633</v>
      </c>
      <c r="D5" s="1" t="s">
        <v>634</v>
      </c>
      <c r="E5" s="1">
        <v>6.0</v>
      </c>
      <c r="F5" s="1" t="s">
        <v>20</v>
      </c>
      <c r="G5" s="6" t="s">
        <v>33</v>
      </c>
      <c r="I5" s="1" t="s">
        <v>22</v>
      </c>
      <c r="J5" s="1" t="s">
        <v>22</v>
      </c>
      <c r="K5" s="1" t="s">
        <v>23</v>
      </c>
      <c r="L5" s="1">
        <v>0.0</v>
      </c>
      <c r="M5" s="1" t="s">
        <v>22</v>
      </c>
      <c r="N5" s="1">
        <v>3.0</v>
      </c>
      <c r="O5" s="1" t="s">
        <v>22</v>
      </c>
      <c r="P5" s="1">
        <v>3.0</v>
      </c>
      <c r="Q5" s="3">
        <f t="shared" si="1"/>
        <v>300</v>
      </c>
    </row>
    <row r="6" ht="15.75" customHeight="1">
      <c r="A6" s="1" t="s">
        <v>17</v>
      </c>
      <c r="B6" s="4">
        <v>6.00412562E8</v>
      </c>
      <c r="C6" s="1" t="s">
        <v>308</v>
      </c>
      <c r="D6" s="1" t="s">
        <v>635</v>
      </c>
      <c r="E6" s="1">
        <v>5.0</v>
      </c>
      <c r="F6" s="1" t="s">
        <v>55</v>
      </c>
      <c r="G6" s="6" t="s">
        <v>33</v>
      </c>
      <c r="I6" s="1" t="s">
        <v>22</v>
      </c>
      <c r="J6" s="1" t="s">
        <v>22</v>
      </c>
      <c r="K6" s="1" t="s">
        <v>23</v>
      </c>
      <c r="L6" s="1">
        <v>0.0</v>
      </c>
      <c r="M6" s="1" t="s">
        <v>22</v>
      </c>
      <c r="N6" s="1">
        <v>3.0</v>
      </c>
      <c r="O6" s="1" t="s">
        <v>22</v>
      </c>
      <c r="P6" s="1">
        <v>3.0</v>
      </c>
      <c r="Q6" s="3">
        <f t="shared" si="1"/>
        <v>300</v>
      </c>
    </row>
    <row r="7" ht="15.75" customHeight="1">
      <c r="A7" s="1" t="s">
        <v>636</v>
      </c>
      <c r="B7" s="9">
        <v>6.00411408E8</v>
      </c>
      <c r="C7" s="1" t="s">
        <v>99</v>
      </c>
      <c r="D7" s="1" t="s">
        <v>637</v>
      </c>
      <c r="E7" s="1">
        <v>6.0</v>
      </c>
      <c r="F7" s="9" t="s">
        <v>55</v>
      </c>
      <c r="G7" s="9" t="s">
        <v>21</v>
      </c>
      <c r="I7" s="1" t="s">
        <v>22</v>
      </c>
      <c r="J7" s="1" t="s">
        <v>22</v>
      </c>
      <c r="K7" s="1" t="s">
        <v>23</v>
      </c>
      <c r="L7" s="1">
        <v>0.0</v>
      </c>
      <c r="M7" s="1" t="s">
        <v>22</v>
      </c>
      <c r="N7" s="1">
        <v>11.0</v>
      </c>
      <c r="O7" s="1" t="s">
        <v>23</v>
      </c>
      <c r="P7" s="1">
        <f t="shared" ref="P7:P8" si="2">COUNTIF(I7:O7, "✔️")</f>
        <v>3</v>
      </c>
      <c r="Q7" s="3">
        <f t="shared" si="1"/>
        <v>300</v>
      </c>
    </row>
    <row r="8" ht="15.75" customHeight="1">
      <c r="A8" s="1" t="s">
        <v>636</v>
      </c>
      <c r="B8" s="4">
        <v>6.00411482E8</v>
      </c>
      <c r="C8" s="1" t="s">
        <v>638</v>
      </c>
      <c r="D8" s="1" t="s">
        <v>639</v>
      </c>
      <c r="E8" s="1">
        <v>6.0</v>
      </c>
      <c r="F8" s="4" t="s">
        <v>55</v>
      </c>
      <c r="G8" s="4" t="s">
        <v>21</v>
      </c>
      <c r="I8" s="1" t="s">
        <v>22</v>
      </c>
      <c r="J8" s="1" t="s">
        <v>22</v>
      </c>
      <c r="K8" s="1" t="s">
        <v>23</v>
      </c>
      <c r="L8" s="1">
        <v>0.0</v>
      </c>
      <c r="M8" s="1" t="s">
        <v>22</v>
      </c>
      <c r="N8" s="1">
        <v>12.0</v>
      </c>
      <c r="O8" s="1" t="s">
        <v>23</v>
      </c>
      <c r="P8" s="1">
        <f t="shared" si="2"/>
        <v>3</v>
      </c>
      <c r="Q8" s="3">
        <f t="shared" si="1"/>
        <v>300</v>
      </c>
    </row>
    <row r="9" ht="15.75" customHeight="1">
      <c r="A9" s="1" t="s">
        <v>636</v>
      </c>
      <c r="B9" s="4">
        <v>6.00411483E8</v>
      </c>
      <c r="C9" s="1" t="s">
        <v>638</v>
      </c>
      <c r="D9" s="1" t="s">
        <v>94</v>
      </c>
      <c r="E9" s="1">
        <v>6.0</v>
      </c>
      <c r="F9" s="4" t="s">
        <v>55</v>
      </c>
      <c r="G9" s="4" t="s">
        <v>33</v>
      </c>
      <c r="I9" s="1" t="s">
        <v>22</v>
      </c>
      <c r="J9" s="1" t="s">
        <v>22</v>
      </c>
      <c r="K9" s="1" t="s">
        <v>22</v>
      </c>
      <c r="L9" s="1">
        <v>0.0</v>
      </c>
      <c r="M9" s="1" t="s">
        <v>22</v>
      </c>
      <c r="N9" s="1">
        <v>12.0</v>
      </c>
      <c r="O9" s="1" t="s">
        <v>23</v>
      </c>
      <c r="P9" s="1">
        <v>3.0</v>
      </c>
      <c r="Q9" s="3">
        <f t="shared" si="1"/>
        <v>300</v>
      </c>
    </row>
    <row r="10" ht="15.75" customHeight="1">
      <c r="A10" s="1" t="s">
        <v>636</v>
      </c>
      <c r="B10" s="4">
        <v>6.00411932E8</v>
      </c>
      <c r="C10" s="1" t="s">
        <v>640</v>
      </c>
      <c r="D10" s="1" t="s">
        <v>641</v>
      </c>
      <c r="E10" s="1">
        <v>6.0</v>
      </c>
      <c r="F10" s="4" t="s">
        <v>20</v>
      </c>
      <c r="G10" s="4" t="s">
        <v>33</v>
      </c>
      <c r="I10" s="1" t="s">
        <v>22</v>
      </c>
      <c r="J10" s="1" t="s">
        <v>22</v>
      </c>
      <c r="K10" s="1" t="s">
        <v>22</v>
      </c>
      <c r="L10" s="1">
        <v>0.0</v>
      </c>
      <c r="M10" s="1" t="s">
        <v>22</v>
      </c>
      <c r="N10" s="1">
        <v>18.0</v>
      </c>
      <c r="O10" s="1" t="s">
        <v>23</v>
      </c>
      <c r="P10" s="1">
        <v>3.0</v>
      </c>
      <c r="Q10" s="3">
        <f t="shared" si="1"/>
        <v>300</v>
      </c>
    </row>
    <row r="11" ht="15.75" customHeight="1">
      <c r="A11" s="1" t="s">
        <v>636</v>
      </c>
      <c r="B11" s="4">
        <v>6.00411404E8</v>
      </c>
      <c r="C11" s="1" t="s">
        <v>642</v>
      </c>
      <c r="D11" s="1" t="s">
        <v>643</v>
      </c>
      <c r="E11" s="1">
        <v>7.0</v>
      </c>
      <c r="F11" s="4" t="s">
        <v>55</v>
      </c>
      <c r="G11" s="4" t="s">
        <v>33</v>
      </c>
      <c r="I11" s="1" t="s">
        <v>22</v>
      </c>
      <c r="J11" s="1" t="s">
        <v>22</v>
      </c>
      <c r="K11" s="1" t="s">
        <v>22</v>
      </c>
      <c r="L11" s="1">
        <v>0.0</v>
      </c>
      <c r="M11" s="1" t="s">
        <v>22</v>
      </c>
      <c r="N11" s="1">
        <v>1.0</v>
      </c>
      <c r="O11" s="1" t="s">
        <v>22</v>
      </c>
      <c r="P11" s="1">
        <v>3.0</v>
      </c>
      <c r="Q11" s="3">
        <f t="shared" si="1"/>
        <v>300</v>
      </c>
    </row>
    <row r="12" ht="15.75" customHeight="1">
      <c r="A12" s="1" t="s">
        <v>242</v>
      </c>
      <c r="B12" s="1">
        <v>6.00410595E8</v>
      </c>
      <c r="C12" s="1" t="s">
        <v>18</v>
      </c>
      <c r="D12" s="1" t="s">
        <v>644</v>
      </c>
      <c r="E12" s="1">
        <v>8.0</v>
      </c>
      <c r="F12" s="1" t="s">
        <v>55</v>
      </c>
      <c r="G12" s="1" t="s">
        <v>33</v>
      </c>
      <c r="I12" s="1" t="s">
        <v>22</v>
      </c>
      <c r="J12" s="1" t="s">
        <v>22</v>
      </c>
      <c r="K12" s="1" t="s">
        <v>23</v>
      </c>
      <c r="L12" s="1">
        <v>0.0</v>
      </c>
      <c r="M12" s="1" t="s">
        <v>22</v>
      </c>
      <c r="N12" s="1">
        <v>6.0</v>
      </c>
      <c r="O12" s="1" t="s">
        <v>23</v>
      </c>
      <c r="P12" s="1">
        <f>COUNTIF(I12:O12, "✔️")</f>
        <v>3</v>
      </c>
      <c r="Q12" s="3">
        <f t="shared" si="1"/>
        <v>300</v>
      </c>
    </row>
    <row r="13" ht="15.75" customHeight="1">
      <c r="A13" s="1" t="s">
        <v>351</v>
      </c>
      <c r="B13" s="1">
        <v>6.0040934E8</v>
      </c>
      <c r="C13" s="1" t="s">
        <v>645</v>
      </c>
      <c r="D13" s="1" t="s">
        <v>646</v>
      </c>
      <c r="E13" s="1">
        <v>9.0</v>
      </c>
      <c r="F13" s="1" t="s">
        <v>55</v>
      </c>
      <c r="G13" s="1" t="s">
        <v>33</v>
      </c>
      <c r="I13" s="1" t="s">
        <v>22</v>
      </c>
      <c r="J13" s="1" t="s">
        <v>22</v>
      </c>
      <c r="K13" s="1" t="s">
        <v>22</v>
      </c>
      <c r="L13" s="1">
        <v>0.0</v>
      </c>
      <c r="M13" s="1" t="s">
        <v>22</v>
      </c>
      <c r="N13" s="1">
        <v>4.0</v>
      </c>
      <c r="O13" s="1" t="s">
        <v>23</v>
      </c>
      <c r="P13" s="1">
        <v>3.0</v>
      </c>
      <c r="Q13" s="3">
        <f t="shared" si="1"/>
        <v>300</v>
      </c>
    </row>
    <row r="14" ht="15.75" customHeight="1">
      <c r="A14" s="1" t="s">
        <v>526</v>
      </c>
      <c r="B14" s="4">
        <v>6.00407781E8</v>
      </c>
      <c r="C14" s="1" t="s">
        <v>647</v>
      </c>
      <c r="D14" s="1" t="s">
        <v>648</v>
      </c>
      <c r="E14" s="1">
        <v>9.0</v>
      </c>
      <c r="F14" s="1" t="s">
        <v>55</v>
      </c>
      <c r="G14" s="1" t="s">
        <v>33</v>
      </c>
      <c r="I14" s="1" t="s">
        <v>22</v>
      </c>
      <c r="J14" s="1" t="s">
        <v>22</v>
      </c>
      <c r="K14" s="1" t="s">
        <v>22</v>
      </c>
      <c r="L14" s="1">
        <v>0.0</v>
      </c>
      <c r="M14" s="1" t="s">
        <v>22</v>
      </c>
      <c r="N14" s="1">
        <v>10.0</v>
      </c>
      <c r="O14" s="1" t="s">
        <v>23</v>
      </c>
      <c r="P14" s="1">
        <v>3.0</v>
      </c>
      <c r="Q14" s="3">
        <f t="shared" si="1"/>
        <v>300</v>
      </c>
    </row>
    <row r="15" ht="15.75" customHeight="1">
      <c r="A15" s="1" t="s">
        <v>526</v>
      </c>
      <c r="B15" s="4">
        <v>6.00407337E8</v>
      </c>
      <c r="C15" s="1" t="s">
        <v>60</v>
      </c>
      <c r="D15" s="1" t="s">
        <v>121</v>
      </c>
      <c r="E15" s="1">
        <v>10.0</v>
      </c>
      <c r="F15" s="1" t="s">
        <v>55</v>
      </c>
      <c r="G15" s="1" t="s">
        <v>33</v>
      </c>
      <c r="I15" s="1" t="s">
        <v>22</v>
      </c>
      <c r="J15" s="1" t="s">
        <v>22</v>
      </c>
      <c r="K15" s="1" t="s">
        <v>22</v>
      </c>
      <c r="L15" s="1">
        <v>0.0</v>
      </c>
      <c r="M15" s="1" t="s">
        <v>22</v>
      </c>
      <c r="N15" s="1">
        <v>6.0</v>
      </c>
      <c r="O15" s="1" t="s">
        <v>23</v>
      </c>
      <c r="P15" s="1">
        <v>3.0</v>
      </c>
      <c r="Q15" s="3">
        <f t="shared" si="1"/>
        <v>300</v>
      </c>
    </row>
    <row r="16" ht="15.75" customHeight="1">
      <c r="A16" s="1" t="s">
        <v>464</v>
      </c>
      <c r="B16" s="1">
        <v>6.00409872E8</v>
      </c>
      <c r="C16" s="1" t="s">
        <v>649</v>
      </c>
      <c r="D16" s="1" t="s">
        <v>650</v>
      </c>
      <c r="E16" s="1">
        <v>10.0</v>
      </c>
      <c r="F16" s="1" t="s">
        <v>20</v>
      </c>
      <c r="G16" s="1" t="s">
        <v>21</v>
      </c>
      <c r="I16" s="1" t="s">
        <v>22</v>
      </c>
      <c r="J16" s="1" t="s">
        <v>22</v>
      </c>
      <c r="K16" s="1" t="s">
        <v>22</v>
      </c>
      <c r="L16" s="1">
        <v>0.0</v>
      </c>
      <c r="M16" s="1" t="s">
        <v>22</v>
      </c>
      <c r="N16" s="1">
        <v>5.0</v>
      </c>
      <c r="O16" s="1" t="s">
        <v>23</v>
      </c>
      <c r="P16" s="1">
        <v>3.0</v>
      </c>
      <c r="Q16" s="3">
        <f t="shared" si="1"/>
        <v>300</v>
      </c>
    </row>
    <row r="17" ht="15.75" customHeight="1">
      <c r="I17" s="1"/>
      <c r="J17" s="1"/>
      <c r="K17" s="1"/>
      <c r="M17" s="1"/>
      <c r="N17" s="1"/>
      <c r="O17" s="1"/>
      <c r="P17" s="1">
        <f t="shared" ref="P17:P31" si="3">COUNTIF(I17:O17, "✔️")</f>
        <v>0</v>
      </c>
      <c r="Q17" s="3">
        <f t="shared" si="1"/>
        <v>0</v>
      </c>
    </row>
    <row r="18" ht="15.75" customHeight="1">
      <c r="I18" s="1"/>
      <c r="J18" s="1"/>
      <c r="K18" s="1"/>
      <c r="M18" s="1"/>
      <c r="N18" s="1"/>
      <c r="O18" s="1"/>
      <c r="P18" s="1">
        <f t="shared" si="3"/>
        <v>0</v>
      </c>
      <c r="Q18" s="3">
        <f t="shared" si="1"/>
        <v>0</v>
      </c>
    </row>
    <row r="19" ht="15.75" customHeight="1">
      <c r="I19" s="1"/>
      <c r="J19" s="1"/>
      <c r="K19" s="1"/>
      <c r="L19" s="1"/>
      <c r="M19" s="1"/>
      <c r="N19" s="1"/>
      <c r="O19" s="1"/>
      <c r="P19" s="1">
        <f t="shared" si="3"/>
        <v>0</v>
      </c>
      <c r="Q19" s="3">
        <f t="shared" si="1"/>
        <v>0</v>
      </c>
    </row>
    <row r="20" ht="15.75" customHeight="1">
      <c r="I20" s="1"/>
      <c r="J20" s="1"/>
      <c r="K20" s="1"/>
      <c r="L20" s="1"/>
      <c r="M20" s="1"/>
      <c r="N20" s="1"/>
      <c r="O20" s="1"/>
      <c r="P20" s="1">
        <f t="shared" si="3"/>
        <v>0</v>
      </c>
      <c r="Q20" s="3">
        <f t="shared" si="1"/>
        <v>0</v>
      </c>
    </row>
    <row r="21" ht="15.75" customHeight="1">
      <c r="I21" s="1"/>
      <c r="J21" s="1"/>
      <c r="K21" s="1"/>
      <c r="L21" s="1"/>
      <c r="M21" s="1"/>
      <c r="N21" s="1"/>
      <c r="O21" s="1"/>
      <c r="P21" s="1">
        <f t="shared" si="3"/>
        <v>0</v>
      </c>
      <c r="Q21" s="3">
        <f t="shared" si="1"/>
        <v>0</v>
      </c>
    </row>
    <row r="22" ht="15.75" customHeight="1">
      <c r="I22" s="1"/>
      <c r="J22" s="1"/>
      <c r="K22" s="1"/>
      <c r="L22" s="1"/>
      <c r="M22" s="1"/>
      <c r="N22" s="1"/>
      <c r="O22" s="1"/>
      <c r="P22" s="1">
        <f t="shared" si="3"/>
        <v>0</v>
      </c>
      <c r="Q22" s="3">
        <f t="shared" si="1"/>
        <v>0</v>
      </c>
    </row>
    <row r="23" ht="15.75" customHeight="1">
      <c r="I23" s="1"/>
      <c r="J23" s="1"/>
      <c r="K23" s="1"/>
      <c r="L23" s="1"/>
      <c r="M23" s="1"/>
      <c r="N23" s="1"/>
      <c r="O23" s="1"/>
      <c r="P23" s="1">
        <f t="shared" si="3"/>
        <v>0</v>
      </c>
      <c r="Q23" s="3">
        <f t="shared" si="1"/>
        <v>0</v>
      </c>
    </row>
    <row r="24" ht="15.75" customHeight="1">
      <c r="I24" s="1"/>
      <c r="J24" s="1"/>
      <c r="K24" s="1"/>
      <c r="L24" s="1"/>
      <c r="M24" s="1"/>
      <c r="N24" s="1"/>
      <c r="O24" s="1"/>
      <c r="P24" s="1">
        <f t="shared" si="3"/>
        <v>0</v>
      </c>
      <c r="Q24" s="3">
        <f t="shared" si="1"/>
        <v>0</v>
      </c>
    </row>
    <row r="25" ht="15.75" customHeight="1">
      <c r="I25" s="1"/>
      <c r="J25" s="1"/>
      <c r="K25" s="1"/>
      <c r="L25" s="1"/>
      <c r="M25" s="1"/>
      <c r="N25" s="1"/>
      <c r="O25" s="1"/>
      <c r="P25" s="1">
        <f t="shared" si="3"/>
        <v>0</v>
      </c>
      <c r="Q25" s="3">
        <f t="shared" si="1"/>
        <v>0</v>
      </c>
    </row>
    <row r="26" ht="15.75" customHeight="1">
      <c r="I26" s="1"/>
      <c r="J26" s="1"/>
      <c r="K26" s="1"/>
      <c r="L26" s="1"/>
      <c r="M26" s="1"/>
      <c r="N26" s="1"/>
      <c r="O26" s="1"/>
      <c r="P26" s="1">
        <f t="shared" si="3"/>
        <v>0</v>
      </c>
      <c r="Q26" s="3">
        <f t="shared" si="1"/>
        <v>0</v>
      </c>
    </row>
    <row r="27" ht="15.75" customHeight="1">
      <c r="I27" s="1"/>
      <c r="J27" s="1"/>
      <c r="K27" s="1"/>
      <c r="L27" s="1"/>
      <c r="M27" s="1"/>
      <c r="N27" s="1"/>
      <c r="O27" s="1"/>
      <c r="P27" s="1">
        <f t="shared" si="3"/>
        <v>0</v>
      </c>
      <c r="Q27" s="3">
        <f t="shared" si="1"/>
        <v>0</v>
      </c>
    </row>
    <row r="28" ht="15.75" customHeight="1">
      <c r="I28" s="1"/>
      <c r="J28" s="1"/>
      <c r="K28" s="1"/>
      <c r="L28" s="1"/>
      <c r="M28" s="1"/>
      <c r="N28" s="1"/>
      <c r="O28" s="1"/>
      <c r="P28" s="1">
        <f t="shared" si="3"/>
        <v>0</v>
      </c>
      <c r="Q28" s="3">
        <f t="shared" si="1"/>
        <v>0</v>
      </c>
    </row>
    <row r="29" ht="15.75" customHeight="1">
      <c r="I29" s="1"/>
      <c r="J29" s="1"/>
      <c r="K29" s="1"/>
      <c r="L29" s="1"/>
      <c r="M29" s="1"/>
      <c r="N29" s="1"/>
      <c r="O29" s="1"/>
      <c r="P29" s="1">
        <f t="shared" si="3"/>
        <v>0</v>
      </c>
      <c r="Q29" s="3">
        <f t="shared" si="1"/>
        <v>0</v>
      </c>
    </row>
    <row r="30" ht="15.75" customHeight="1">
      <c r="I30" s="1"/>
      <c r="J30" s="1"/>
      <c r="K30" s="1"/>
      <c r="L30" s="1"/>
      <c r="M30" s="1"/>
      <c r="N30" s="1"/>
      <c r="O30" s="1"/>
      <c r="P30" s="1">
        <f t="shared" si="3"/>
        <v>0</v>
      </c>
      <c r="Q30" s="3">
        <f t="shared" si="1"/>
        <v>0</v>
      </c>
    </row>
    <row r="31" ht="15.75" customHeight="1">
      <c r="I31" s="1"/>
      <c r="J31" s="1"/>
      <c r="K31" s="1"/>
      <c r="L31" s="1"/>
      <c r="M31" s="1"/>
      <c r="N31" s="1"/>
      <c r="O31" s="1"/>
      <c r="P31" s="1">
        <f t="shared" si="3"/>
        <v>0</v>
      </c>
      <c r="Q31" s="3">
        <f t="shared" si="1"/>
        <v>0</v>
      </c>
    </row>
    <row r="32" ht="15.75" customHeight="1">
      <c r="I32" s="1">
        <f t="shared" ref="I32:K32" si="4">COUNTIF(I2:I31, "✔️")</f>
        <v>15</v>
      </c>
      <c r="J32" s="1">
        <f t="shared" si="4"/>
        <v>15</v>
      </c>
      <c r="K32" s="1">
        <f t="shared" si="4"/>
        <v>9</v>
      </c>
      <c r="L32" s="1"/>
      <c r="M32" s="1">
        <f>COUNTIF(M2:M31, "✔️")</f>
        <v>15</v>
      </c>
      <c r="N32" s="1"/>
      <c r="O32" s="1">
        <f>COUNTIF(O2:O31, "✔️")</f>
        <v>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31">
    <cfRule type="notContainsBlanks" dxfId="0" priority="1">
      <formula>LEN(TRIM(I2))&gt;0</formula>
    </cfRule>
  </conditionalFormatting>
  <conditionalFormatting sqref="Q2:Q31">
    <cfRule type="notContainsBlanks" dxfId="0" priority="2">
      <formula>LEN(TRIM(Q2))&gt;0</formula>
    </cfRule>
  </conditionalFormatting>
  <dataValidations>
    <dataValidation type="list" allowBlank="1" showErrorMessage="1" sqref="I2:K31 M2:M31 O2:O31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38"/>
    <col customWidth="1" min="4" max="4" width="16.5"/>
    <col customWidth="1" min="5" max="5" width="4.0"/>
    <col customWidth="1" min="6" max="6" width="12.63"/>
  </cols>
  <sheetData>
    <row r="1" ht="15.75" customHeight="1"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</row>
    <row r="2" ht="15.75" customHeight="1">
      <c r="A2" s="1" t="s">
        <v>17</v>
      </c>
      <c r="B2" s="1">
        <v>6.00412771E8</v>
      </c>
      <c r="C2" s="1" t="s">
        <v>18</v>
      </c>
      <c r="D2" s="1" t="s">
        <v>19</v>
      </c>
      <c r="E2" s="1">
        <v>6.0</v>
      </c>
      <c r="F2" s="1" t="s">
        <v>20</v>
      </c>
      <c r="G2" s="1" t="s">
        <v>21</v>
      </c>
      <c r="I2" s="1" t="s">
        <v>22</v>
      </c>
      <c r="J2" s="1"/>
      <c r="K2" s="1" t="s">
        <v>23</v>
      </c>
      <c r="L2" s="1">
        <v>1.0</v>
      </c>
      <c r="M2" s="1" t="s">
        <v>22</v>
      </c>
      <c r="N2" s="1">
        <v>8.0</v>
      </c>
      <c r="O2" s="1" t="s">
        <v>23</v>
      </c>
      <c r="P2" s="1">
        <f>COUNTIF(I2:O2, "✔️")</f>
        <v>2</v>
      </c>
      <c r="Q2" s="3">
        <f>IF(P2=1, 100, IF(P2=2, 200, IF(P2=3, 300, 0)))</f>
        <v>200</v>
      </c>
    </row>
    <row r="3" ht="15.75" customHeight="1">
      <c r="A3" s="1" t="s">
        <v>17</v>
      </c>
      <c r="B3" s="1">
        <v>6.00409876E8</v>
      </c>
      <c r="C3" s="1" t="s">
        <v>24</v>
      </c>
      <c r="D3" s="1" t="s">
        <v>25</v>
      </c>
      <c r="E3" s="1">
        <v>5.0</v>
      </c>
      <c r="F3" s="1" t="s">
        <v>20</v>
      </c>
      <c r="G3" s="1" t="s">
        <v>21</v>
      </c>
      <c r="H3" s="1" t="s">
        <v>26</v>
      </c>
      <c r="I3" s="1" t="s">
        <v>22</v>
      </c>
      <c r="J3" s="1"/>
      <c r="K3" s="1" t="s">
        <v>22</v>
      </c>
      <c r="L3" s="1">
        <v>0.0</v>
      </c>
      <c r="M3" s="1" t="s">
        <v>22</v>
      </c>
      <c r="N3" s="1">
        <v>4.0</v>
      </c>
      <c r="O3" s="1" t="s">
        <v>23</v>
      </c>
      <c r="P3" s="1">
        <v>3.0</v>
      </c>
      <c r="Q3" s="3">
        <v>300.0</v>
      </c>
    </row>
    <row r="4" ht="15.75" customHeight="1">
      <c r="A4" s="1" t="s">
        <v>17</v>
      </c>
      <c r="B4" s="1">
        <v>6.00409879E8</v>
      </c>
      <c r="C4" s="1" t="s">
        <v>27</v>
      </c>
      <c r="D4" s="1" t="s">
        <v>28</v>
      </c>
      <c r="E4" s="1">
        <v>6.0</v>
      </c>
      <c r="F4" s="1" t="s">
        <v>20</v>
      </c>
      <c r="G4" s="1" t="s">
        <v>21</v>
      </c>
      <c r="I4" s="1" t="s">
        <v>22</v>
      </c>
      <c r="J4" s="1"/>
      <c r="K4" s="1" t="s">
        <v>22</v>
      </c>
      <c r="L4" s="1">
        <v>0.0</v>
      </c>
      <c r="M4" s="1" t="s">
        <v>22</v>
      </c>
      <c r="N4" s="1">
        <v>7.0</v>
      </c>
      <c r="O4" s="1" t="s">
        <v>23</v>
      </c>
      <c r="P4" s="1">
        <f t="shared" ref="P4:P5" si="1">COUNTIF(I4:O4, "✔️")</f>
        <v>3</v>
      </c>
      <c r="Q4" s="3">
        <f t="shared" ref="Q4:Q5" si="2">IF(P4=1, 100, IF(P4=2, 200, IF(P4=3, 300, 0)))</f>
        <v>300</v>
      </c>
    </row>
    <row r="5" ht="15.75" customHeight="1">
      <c r="A5" s="1" t="s">
        <v>17</v>
      </c>
      <c r="B5" s="4">
        <v>6.00411864E8</v>
      </c>
      <c r="C5" s="1" t="s">
        <v>29</v>
      </c>
      <c r="D5" s="1" t="s">
        <v>30</v>
      </c>
      <c r="E5" s="1">
        <v>5.0</v>
      </c>
      <c r="F5" s="5" t="s">
        <v>20</v>
      </c>
      <c r="G5" s="6" t="s">
        <v>21</v>
      </c>
      <c r="I5" s="1" t="s">
        <v>23</v>
      </c>
      <c r="J5" s="1"/>
      <c r="K5" s="1" t="s">
        <v>22</v>
      </c>
      <c r="L5" s="1">
        <v>0.0</v>
      </c>
      <c r="M5" s="1" t="s">
        <v>22</v>
      </c>
      <c r="N5" s="1">
        <v>8.0</v>
      </c>
      <c r="O5" s="1" t="s">
        <v>23</v>
      </c>
      <c r="P5" s="1">
        <f t="shared" si="1"/>
        <v>2</v>
      </c>
      <c r="Q5" s="3">
        <f t="shared" si="2"/>
        <v>200</v>
      </c>
    </row>
    <row r="6" ht="15.75" customHeight="1">
      <c r="A6" s="1" t="s">
        <v>17</v>
      </c>
      <c r="B6" s="4">
        <v>6.00411633E8</v>
      </c>
      <c r="C6" s="1" t="s">
        <v>31</v>
      </c>
      <c r="D6" s="1" t="s">
        <v>32</v>
      </c>
      <c r="E6" s="1">
        <v>5.0</v>
      </c>
      <c r="F6" s="1" t="s">
        <v>20</v>
      </c>
      <c r="G6" s="6" t="s">
        <v>33</v>
      </c>
      <c r="I6" s="1" t="s">
        <v>22</v>
      </c>
      <c r="J6" s="1"/>
      <c r="K6" s="1" t="s">
        <v>23</v>
      </c>
      <c r="L6" s="1">
        <v>4.0</v>
      </c>
      <c r="M6" s="1" t="s">
        <v>23</v>
      </c>
      <c r="N6" s="1"/>
      <c r="O6" s="1"/>
      <c r="P6" s="1">
        <v>1.0</v>
      </c>
      <c r="Q6" s="3">
        <v>100.0</v>
      </c>
    </row>
    <row r="7" ht="15.75" customHeight="1">
      <c r="A7" s="1" t="s">
        <v>17</v>
      </c>
      <c r="B7" s="4">
        <v>6.00412351E8</v>
      </c>
      <c r="C7" s="1" t="s">
        <v>34</v>
      </c>
      <c r="D7" s="1" t="s">
        <v>35</v>
      </c>
      <c r="E7" s="1">
        <v>5.0</v>
      </c>
      <c r="F7" s="1" t="s">
        <v>20</v>
      </c>
      <c r="G7" s="6" t="s">
        <v>33</v>
      </c>
      <c r="I7" s="1" t="s">
        <v>22</v>
      </c>
      <c r="J7" s="1"/>
      <c r="K7" s="1" t="s">
        <v>22</v>
      </c>
      <c r="L7" s="1">
        <v>0.0</v>
      </c>
      <c r="M7" s="1" t="s">
        <v>22</v>
      </c>
      <c r="N7" s="1"/>
      <c r="O7" s="1"/>
      <c r="P7" s="1">
        <v>3.0</v>
      </c>
      <c r="Q7" s="3">
        <v>300.0</v>
      </c>
    </row>
    <row r="8" ht="15.75" customHeight="1">
      <c r="A8" s="1" t="s">
        <v>17</v>
      </c>
      <c r="B8" s="4">
        <v>6.00409885E8</v>
      </c>
      <c r="C8" s="1" t="s">
        <v>36</v>
      </c>
      <c r="D8" s="1" t="s">
        <v>37</v>
      </c>
      <c r="E8" s="1">
        <v>5.0</v>
      </c>
      <c r="F8" s="5" t="s">
        <v>20</v>
      </c>
      <c r="G8" s="6" t="s">
        <v>21</v>
      </c>
      <c r="I8" s="1" t="s">
        <v>22</v>
      </c>
      <c r="J8" s="1"/>
      <c r="K8" s="1" t="s">
        <v>22</v>
      </c>
      <c r="L8" s="1">
        <v>0.0</v>
      </c>
      <c r="M8" s="1" t="s">
        <v>22</v>
      </c>
      <c r="N8" s="1">
        <v>10.0</v>
      </c>
      <c r="O8" s="1" t="s">
        <v>23</v>
      </c>
      <c r="P8" s="1">
        <f>COUNTIF(I8:O8, "✔️")</f>
        <v>3</v>
      </c>
      <c r="Q8" s="3">
        <f>IF(P8=1, 100, IF(P8=2, 200, IF(P8=3, 300, 0)))</f>
        <v>300</v>
      </c>
    </row>
    <row r="9" ht="15.75" customHeight="1">
      <c r="A9" s="1" t="s">
        <v>17</v>
      </c>
      <c r="B9" s="4">
        <v>6.00410043E8</v>
      </c>
      <c r="C9" s="1" t="s">
        <v>38</v>
      </c>
      <c r="D9" s="1" t="s">
        <v>39</v>
      </c>
      <c r="E9" s="1">
        <v>5.0</v>
      </c>
      <c r="F9" s="1" t="s">
        <v>20</v>
      </c>
      <c r="G9" s="6" t="s">
        <v>33</v>
      </c>
      <c r="I9" s="1" t="s">
        <v>22</v>
      </c>
      <c r="J9" s="1"/>
      <c r="K9" s="1" t="s">
        <v>22</v>
      </c>
      <c r="L9" s="1">
        <v>0.0</v>
      </c>
      <c r="M9" s="1" t="s">
        <v>22</v>
      </c>
      <c r="N9" s="1">
        <v>1.0</v>
      </c>
      <c r="O9" s="1" t="s">
        <v>22</v>
      </c>
      <c r="P9" s="1">
        <v>3.0</v>
      </c>
      <c r="Q9" s="3">
        <v>300.0</v>
      </c>
    </row>
    <row r="10" ht="15.75" customHeight="1">
      <c r="A10" s="1" t="s">
        <v>17</v>
      </c>
      <c r="B10" s="4">
        <v>6.00410183E8</v>
      </c>
      <c r="C10" s="1" t="s">
        <v>40</v>
      </c>
      <c r="D10" s="1" t="s">
        <v>41</v>
      </c>
      <c r="E10" s="1">
        <v>5.0</v>
      </c>
      <c r="F10" s="1" t="s">
        <v>42</v>
      </c>
      <c r="G10" s="6" t="s">
        <v>33</v>
      </c>
      <c r="I10" s="1" t="s">
        <v>22</v>
      </c>
      <c r="J10" s="1"/>
      <c r="K10" s="1" t="s">
        <v>23</v>
      </c>
      <c r="L10" s="1">
        <v>3.0</v>
      </c>
      <c r="M10" s="1" t="s">
        <v>23</v>
      </c>
      <c r="N10" s="1">
        <v>3.0</v>
      </c>
      <c r="O10" s="1" t="s">
        <v>22</v>
      </c>
      <c r="P10" s="1">
        <f>COUNTIF(I10:O10, "✔️")</f>
        <v>2</v>
      </c>
      <c r="Q10" s="3">
        <f>IF(P10=1, 100, IF(P10=2, 200, IF(P10=3, 300, 0)))</f>
        <v>200</v>
      </c>
    </row>
    <row r="11" ht="15.75" customHeight="1">
      <c r="A11" s="1" t="s">
        <v>17</v>
      </c>
      <c r="B11" s="4">
        <v>6.00412835E8</v>
      </c>
      <c r="C11" s="1" t="s">
        <v>43</v>
      </c>
      <c r="D11" s="1" t="s">
        <v>44</v>
      </c>
      <c r="E11" s="1">
        <v>5.0</v>
      </c>
      <c r="F11" s="1" t="s">
        <v>20</v>
      </c>
      <c r="G11" s="6" t="s">
        <v>33</v>
      </c>
      <c r="I11" s="1" t="s">
        <v>22</v>
      </c>
      <c r="J11" s="1"/>
      <c r="K11" s="1" t="s">
        <v>23</v>
      </c>
      <c r="L11" s="1">
        <v>0.0</v>
      </c>
      <c r="M11" s="1" t="s">
        <v>22</v>
      </c>
      <c r="N11" s="1"/>
      <c r="O11" s="1"/>
      <c r="P11" s="1">
        <v>2.0</v>
      </c>
      <c r="Q11" s="3">
        <v>200.0</v>
      </c>
    </row>
    <row r="12" ht="15.75" customHeight="1">
      <c r="A12" s="1" t="s">
        <v>17</v>
      </c>
      <c r="B12" s="4">
        <v>6.00412494E8</v>
      </c>
      <c r="C12" s="1" t="s">
        <v>45</v>
      </c>
      <c r="D12" s="1" t="s">
        <v>46</v>
      </c>
      <c r="E12" s="1">
        <v>5.0</v>
      </c>
      <c r="F12" s="1" t="s">
        <v>20</v>
      </c>
      <c r="G12" s="6" t="s">
        <v>21</v>
      </c>
      <c r="I12" s="1" t="s">
        <v>22</v>
      </c>
      <c r="J12" s="1"/>
      <c r="K12" s="1" t="s">
        <v>22</v>
      </c>
      <c r="L12" s="1">
        <v>0.0</v>
      </c>
      <c r="M12" s="1" t="s">
        <v>22</v>
      </c>
      <c r="N12" s="1">
        <v>4.0</v>
      </c>
      <c r="O12" s="1" t="s">
        <v>23</v>
      </c>
      <c r="P12" s="1">
        <f t="shared" ref="P12:P13" si="3">COUNTIF(I12:O12, "✔️")</f>
        <v>3</v>
      </c>
      <c r="Q12" s="3">
        <f t="shared" ref="Q12:Q13" si="4">IF(P12=1, 100, IF(P12=2, 200, IF(P12=3, 300, 0)))</f>
        <v>300</v>
      </c>
    </row>
    <row r="13" ht="15.75" customHeight="1">
      <c r="A13" s="1" t="s">
        <v>17</v>
      </c>
      <c r="B13" s="4">
        <v>6.0040989E8</v>
      </c>
      <c r="C13" s="1" t="s">
        <v>47</v>
      </c>
      <c r="D13" s="1" t="s">
        <v>48</v>
      </c>
      <c r="E13" s="1">
        <v>5.0</v>
      </c>
      <c r="F13" s="1" t="s">
        <v>20</v>
      </c>
      <c r="G13" s="6" t="s">
        <v>21</v>
      </c>
      <c r="I13" s="1" t="s">
        <v>22</v>
      </c>
      <c r="J13" s="1"/>
      <c r="K13" s="1" t="s">
        <v>22</v>
      </c>
      <c r="L13" s="1">
        <v>0.0</v>
      </c>
      <c r="M13" s="1" t="s">
        <v>22</v>
      </c>
      <c r="N13" s="1">
        <v>6.0</v>
      </c>
      <c r="O13" s="1" t="s">
        <v>23</v>
      </c>
      <c r="P13" s="1">
        <f t="shared" si="3"/>
        <v>3</v>
      </c>
      <c r="Q13" s="3">
        <f t="shared" si="4"/>
        <v>300</v>
      </c>
    </row>
    <row r="14" ht="15.75" customHeight="1">
      <c r="A14" s="1" t="s">
        <v>17</v>
      </c>
      <c r="B14" s="4">
        <v>6.00412749E8</v>
      </c>
      <c r="C14" s="1" t="s">
        <v>49</v>
      </c>
      <c r="D14" s="1" t="s">
        <v>50</v>
      </c>
      <c r="E14" s="1">
        <v>5.0</v>
      </c>
      <c r="F14" s="1" t="s">
        <v>20</v>
      </c>
      <c r="G14" s="6" t="s">
        <v>21</v>
      </c>
      <c r="I14" s="1" t="s">
        <v>22</v>
      </c>
      <c r="J14" s="1"/>
      <c r="K14" s="1" t="s">
        <v>22</v>
      </c>
      <c r="L14" s="1">
        <v>2.0</v>
      </c>
      <c r="M14" s="1" t="s">
        <v>23</v>
      </c>
      <c r="N14" s="1"/>
      <c r="O14" s="1"/>
      <c r="P14" s="1">
        <v>2.0</v>
      </c>
      <c r="Q14" s="3">
        <v>200.0</v>
      </c>
    </row>
    <row r="15" ht="15.75" customHeight="1">
      <c r="A15" s="1" t="s">
        <v>17</v>
      </c>
      <c r="B15" s="4">
        <v>6.00411044E8</v>
      </c>
      <c r="C15" s="1" t="s">
        <v>51</v>
      </c>
      <c r="D15" s="1" t="s">
        <v>52</v>
      </c>
      <c r="E15" s="1">
        <v>6.0</v>
      </c>
      <c r="F15" s="1" t="s">
        <v>20</v>
      </c>
      <c r="G15" s="6" t="s">
        <v>33</v>
      </c>
      <c r="I15" s="1" t="s">
        <v>22</v>
      </c>
      <c r="J15" s="1"/>
      <c r="K15" s="1" t="s">
        <v>22</v>
      </c>
      <c r="L15" s="1">
        <v>0.0</v>
      </c>
      <c r="M15" s="1" t="s">
        <v>22</v>
      </c>
      <c r="N15" s="1">
        <v>7.0</v>
      </c>
      <c r="O15" s="1" t="s">
        <v>23</v>
      </c>
      <c r="P15" s="1">
        <f>COUNTIF(I15:O15, "✔️")</f>
        <v>3</v>
      </c>
      <c r="Q15" s="3">
        <f>IF(P15=1, 100, IF(P15=2, 200, IF(P15=3, 300, 0)))</f>
        <v>300</v>
      </c>
    </row>
    <row r="16" ht="15.75" customHeight="1">
      <c r="A16" s="1" t="s">
        <v>17</v>
      </c>
      <c r="B16" s="4">
        <v>6.00410168E8</v>
      </c>
      <c r="C16" s="1" t="s">
        <v>53</v>
      </c>
      <c r="D16" s="1" t="s">
        <v>54</v>
      </c>
      <c r="E16" s="1">
        <v>6.0</v>
      </c>
      <c r="F16" s="1" t="s">
        <v>55</v>
      </c>
      <c r="G16" s="6" t="s">
        <v>21</v>
      </c>
      <c r="I16" s="1" t="s">
        <v>22</v>
      </c>
      <c r="J16" s="1"/>
      <c r="K16" s="1" t="s">
        <v>22</v>
      </c>
      <c r="L16" s="1">
        <v>0.0</v>
      </c>
      <c r="M16" s="1" t="s">
        <v>22</v>
      </c>
      <c r="N16" s="1">
        <v>1.0</v>
      </c>
      <c r="O16" s="1" t="s">
        <v>22</v>
      </c>
      <c r="P16" s="1">
        <v>3.0</v>
      </c>
      <c r="Q16" s="3">
        <v>300.0</v>
      </c>
    </row>
    <row r="17" ht="15.75" customHeight="1">
      <c r="A17" s="1" t="s">
        <v>17</v>
      </c>
      <c r="B17" s="4">
        <v>6.00412684E8</v>
      </c>
      <c r="C17" s="1" t="s">
        <v>56</v>
      </c>
      <c r="D17" s="1" t="s">
        <v>57</v>
      </c>
      <c r="E17" s="1">
        <v>6.0</v>
      </c>
      <c r="F17" s="1" t="s">
        <v>55</v>
      </c>
      <c r="G17" s="6" t="s">
        <v>33</v>
      </c>
      <c r="I17" s="1" t="s">
        <v>22</v>
      </c>
      <c r="J17" s="1"/>
      <c r="K17" s="1" t="s">
        <v>23</v>
      </c>
      <c r="L17" s="1">
        <v>3.0</v>
      </c>
      <c r="M17" s="1" t="s">
        <v>23</v>
      </c>
      <c r="N17" s="1">
        <v>3.0</v>
      </c>
      <c r="O17" s="1" t="s">
        <v>22</v>
      </c>
      <c r="P17" s="1">
        <f>COUNTIF(I17:O17, "✔️")</f>
        <v>2</v>
      </c>
      <c r="Q17" s="3">
        <f t="shared" ref="Q17:Q20" si="5">IF(P17=1, 100, IF(P17=2, 200, IF(P17=3, 300, 0)))</f>
        <v>200</v>
      </c>
    </row>
    <row r="18" ht="15.75" customHeight="1">
      <c r="A18" s="1" t="s">
        <v>17</v>
      </c>
      <c r="B18" s="4">
        <v>6.00412366E8</v>
      </c>
      <c r="C18" s="1" t="s">
        <v>58</v>
      </c>
      <c r="D18" s="1" t="s">
        <v>59</v>
      </c>
      <c r="E18" s="1">
        <v>6.0</v>
      </c>
      <c r="F18" s="1" t="s">
        <v>20</v>
      </c>
      <c r="G18" s="6" t="s">
        <v>33</v>
      </c>
      <c r="I18" s="1" t="s">
        <v>22</v>
      </c>
      <c r="J18" s="1"/>
      <c r="K18" s="1" t="s">
        <v>22</v>
      </c>
      <c r="L18" s="1">
        <v>0.0</v>
      </c>
      <c r="M18" s="1" t="s">
        <v>22</v>
      </c>
      <c r="N18" s="1">
        <v>0.0</v>
      </c>
      <c r="O18" s="1" t="s">
        <v>22</v>
      </c>
      <c r="P18" s="1">
        <v>3.0</v>
      </c>
      <c r="Q18" s="3">
        <f t="shared" si="5"/>
        <v>300</v>
      </c>
    </row>
    <row r="19" ht="15.75" customHeight="1">
      <c r="A19" s="1" t="s">
        <v>17</v>
      </c>
      <c r="B19" s="4">
        <v>6.00412367E8</v>
      </c>
      <c r="C19" s="1" t="s">
        <v>60</v>
      </c>
      <c r="D19" s="1" t="s">
        <v>61</v>
      </c>
      <c r="E19" s="1">
        <v>5.0</v>
      </c>
      <c r="F19" s="1" t="s">
        <v>20</v>
      </c>
      <c r="G19" s="6" t="s">
        <v>33</v>
      </c>
      <c r="I19" s="1" t="s">
        <v>22</v>
      </c>
      <c r="J19" s="1"/>
      <c r="K19" s="1" t="s">
        <v>22</v>
      </c>
      <c r="L19" s="1">
        <v>0.0</v>
      </c>
      <c r="M19" s="1" t="s">
        <v>22</v>
      </c>
      <c r="N19" s="1">
        <v>11.0</v>
      </c>
      <c r="O19" s="1" t="s">
        <v>23</v>
      </c>
      <c r="P19" s="1">
        <v>3.0</v>
      </c>
      <c r="Q19" s="3">
        <f t="shared" si="5"/>
        <v>300</v>
      </c>
    </row>
    <row r="20" ht="15.75" customHeight="1">
      <c r="A20" s="1" t="s">
        <v>17</v>
      </c>
      <c r="B20" s="4">
        <v>6.00410403E8</v>
      </c>
      <c r="C20" s="1" t="s">
        <v>62</v>
      </c>
      <c r="D20" s="1" t="s">
        <v>63</v>
      </c>
      <c r="E20" s="1">
        <v>5.0</v>
      </c>
      <c r="F20" s="1" t="s">
        <v>20</v>
      </c>
      <c r="G20" s="6" t="s">
        <v>33</v>
      </c>
      <c r="I20" s="1" t="s">
        <v>22</v>
      </c>
      <c r="J20" s="1"/>
      <c r="K20" s="1" t="s">
        <v>22</v>
      </c>
      <c r="L20" s="1">
        <v>0.0</v>
      </c>
      <c r="M20" s="1" t="s">
        <v>22</v>
      </c>
      <c r="N20" s="1">
        <v>6.0</v>
      </c>
      <c r="O20" s="1" t="s">
        <v>23</v>
      </c>
      <c r="P20" s="1">
        <v>3.0</v>
      </c>
      <c r="Q20" s="3">
        <f t="shared" si="5"/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O20">
    <cfRule type="notContainsBlanks" dxfId="0" priority="1">
      <formula>LEN(TRIM(I2))&gt;0</formula>
    </cfRule>
  </conditionalFormatting>
  <conditionalFormatting sqref="Q2:Q20">
    <cfRule type="notContainsBlanks" dxfId="0" priority="2">
      <formula>LEN(TRIM(Q2))&gt;0</formula>
    </cfRule>
  </conditionalFormatting>
  <dataValidations>
    <dataValidation type="list" allowBlank="1" showErrorMessage="1" sqref="I2:K20 M2:M20 O2:O20">
      <formula1>"✔,X"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2026-02-03T19:45:02Z</dcterms:created>
</cp:coreProperties>
</file>